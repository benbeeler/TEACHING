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EB8B0325-F2B2-A74A-B2BE-E0E319A5B1FB}" xr6:coauthVersionLast="47" xr6:coauthVersionMax="47" xr10:uidLastSave="{00000000-0000-0000-0000-000000000000}"/>
  <bookViews>
    <workbookView xWindow="1600" yWindow="500" windowWidth="23220" windowHeight="158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I31" i="1"/>
  <c r="N103" i="1"/>
  <c r="S31" i="1"/>
  <c r="T31" i="1"/>
  <c r="O16" i="1"/>
  <c r="O28" i="1" l="1"/>
  <c r="O24" i="1"/>
  <c r="V103" i="1"/>
  <c r="U103" i="1"/>
  <c r="T103" i="1"/>
  <c r="S103" i="1"/>
  <c r="Q103" i="1"/>
  <c r="P103" i="1"/>
  <c r="O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N27" i="1"/>
  <c r="O5" i="1"/>
  <c r="J31" i="1"/>
  <c r="J34" i="1" s="1"/>
  <c r="O22" i="1"/>
  <c r="O6" i="1"/>
  <c r="O8" i="1"/>
  <c r="O9" i="1"/>
  <c r="O10" i="1"/>
  <c r="O11" i="1"/>
  <c r="O12" i="1"/>
  <c r="O13" i="1"/>
  <c r="O14" i="1"/>
  <c r="O15" i="1"/>
  <c r="O17" i="1"/>
  <c r="O19" i="1"/>
  <c r="O20" i="1"/>
  <c r="O21" i="1"/>
  <c r="O23" i="1"/>
  <c r="I34" i="1"/>
  <c r="H31" i="1"/>
  <c r="H34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P7" i="1" s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8" i="1" l="1"/>
  <c r="P9" i="1"/>
  <c r="P20" i="1"/>
  <c r="P22" i="1"/>
  <c r="P23" i="1"/>
  <c r="P24" i="1"/>
  <c r="P8" i="1"/>
  <c r="P10" i="1"/>
  <c r="P12" i="1"/>
  <c r="P14" i="1"/>
  <c r="P5" i="1"/>
  <c r="P21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<sst xmlns="http://schemas.openxmlformats.org/spreadsheetml/2006/main" count="221" uniqueCount="132">
  <si>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</si>
  <si>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</si>
  <si>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</si>
  <si>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</si>
  <si>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</si>
  <si>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</si>
  <si>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</si>
  <si>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</si>
  <si>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</si>
  <si>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</si>
  <si>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</si>
  <si>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</si>
  <si>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</si>
  <si>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</si>
  <si>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</si>
  <si>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</si>
  <si>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</si>
  <si>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</si>
  <si>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</si>
  <si>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</si>
  <si>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</si>
  <si>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</si>
  <si>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</si>
  <si>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</si>
  <si>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</si>
  <si>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</si>
  <si>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</si>
  <si>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</si>
  <si>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</si>
  <si>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</si>
  <si>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</si>
  <si>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</si>
  <si>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</si>
  <si>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</si>
  <si>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</si>
  <si>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</si>
  <si>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</si>
  <si>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</si>
  <si>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</si>
  <si>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</si>
  <si>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</si>
  <si>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</si>
  <si>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</si>
  <si>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</si>
  <si>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</si>
  <si>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</si>
  <si>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</si>
  <si>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</si>
  <si>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</si>
  <si>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</si>
  <si>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</si>
  <si>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</si>
  <si>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</si>
  <si>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</si>
  <si>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</si>
  <si>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</si>
  <si>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</si>
  <si>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</si>
  <si>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</si>
  <si>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</si>
  <si>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</si>
  <si>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</si>
  <si>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</si>
  <si>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</si>
  <si>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</si>
  <si>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</si>
  <si>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</si>
  <si>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</si>
  <si>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</si>
  <si>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</si>
  <si>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</si>
  <si>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</si>
  <si>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</si>
  <si>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</si>
  <si>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</si>
  <si>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</si>
  <si>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</si>
  <si>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</si>
  <si>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</si>
  <si>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</si>
  <si>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</si>
  <si>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</si>
  <si>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</si>
  <si>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</si>
  <si>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</si>
  <si>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</si>
  <si>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</si>
  <si>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</si>
  <si>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</si>
  <si>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</si>
  <si>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</si>
  <si>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</si>
  <si>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</si>
  <si>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</si>
  <si>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</si>
  <si>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</si>
  <si>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</si>
  <si>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</si>
  <si>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</si>
  <si>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</si>
  <si>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</si>
  <si>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</si>
  <si>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</si>
  <si>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Survey</t>
  </si>
  <si>
    <t>Final Grade</t>
  </si>
  <si>
    <t>97 ≤</t>
  </si>
  <si>
    <t>A+</t>
  </si>
  <si>
    <t>≤ 100</t>
  </si>
  <si>
    <t>93 ≤</t>
  </si>
  <si>
    <t>A</t>
  </si>
  <si>
    <t xml:space="preserve"> &lt; 97</t>
  </si>
  <si>
    <t>90 ≤</t>
  </si>
  <si>
    <t>A-</t>
  </si>
  <si>
    <t xml:space="preserve"> &lt; 93</t>
  </si>
  <si>
    <t>87 ≤</t>
  </si>
  <si>
    <t>B+</t>
  </si>
  <si>
    <t xml:space="preserve"> &lt; 90</t>
  </si>
  <si>
    <t>83 ≤</t>
  </si>
  <si>
    <t>B</t>
  </si>
  <si>
    <t xml:space="preserve"> &lt; 87</t>
  </si>
  <si>
    <t>80 ≤</t>
  </si>
  <si>
    <t>B-</t>
  </si>
  <si>
    <t xml:space="preserve"> &lt; 83</t>
  </si>
  <si>
    <t>77 ≤</t>
  </si>
  <si>
    <t>C+</t>
  </si>
  <si>
    <t xml:space="preserve"> &lt; 80</t>
  </si>
  <si>
    <t>73 ≤</t>
  </si>
  <si>
    <t>C</t>
  </si>
  <si>
    <t xml:space="preserve"> &lt; 77</t>
  </si>
  <si>
    <t>70 ≤</t>
  </si>
  <si>
    <t>C-</t>
  </si>
  <si>
    <t xml:space="preserve"> &lt; 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</si>
</sst>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rgb="FF000000"/>
      <name val="Calibri"/>
    </font>
    <font>
      <sz val="12"/>
      <color rgb="FF000000"/>
      <name val="Calibri"/>
      <family val="2"/>
    </font>
    <font>
      <sz val="10"/>
      <color rgb="FF000000"/>
      <name val="Roboto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B7B7B7"/>
      </left>
      <right style="medium">
        <color rgb="FFB7B7B7"/>
      </right>
      <top/>
      <bottom style="medium">
        <color rgb="FFB7B7B7"/>
      </bottom>
      <diagonal/>
    </border>
    <border>
      <left/>
      <right style="medium">
        <color rgb="FFB7B7B7"/>
      </right>
      <top/>
      <bottom style="medium">
        <color rgb="FFB7B7B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1" xfId="0" applyFont="1" applyBorder="1" applyAlignment="1">
      <alignment horizontal="left" vertical="center" wrapText="1" indent="1"/>
    </xf>
    <xf numFmtId="0" fontId="2" fillId="0" borderId="2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X103"/>
  <sheetViews>
    <sheetView tabSelected="1" workbookViewId="0">
      <selection activeCell="A22" sqref="A22:XFD22"/>
    </sheetView>
  </sheetViews>
  <sheetFormatPr baseColWidth="10" defaultRowHeight="16" x14ac:dyDescent="0.2"/>
  <cols>
    <col min="10" max="10" width="12.5" customWidth="1"/>
  </cols>
  <sheetData>
    <row r="2" spans="1:24" x14ac:dyDescent="0.2">
      <c r="F2">
        <v>0.16</v>
      </c>
      <c r="G2">
        <v>0.16</v>
      </c>
      <c r="H2">
        <v>0.16</v>
      </c>
      <c r="I2">
        <v>0.16</v>
      </c>
      <c r="J2">
        <v>0.16</v>
      </c>
      <c r="K2">
        <v>0.05</v>
      </c>
      <c r="L2">
        <v>0.05</v>
      </c>
      <c r="M2">
        <v>0.1</v>
      </c>
      <c r="N2">
        <f>SUM(F2:M2)</f>
        <v>1.0000000000000002</v>
      </c>
      <c r="O2" s="1" t="s">
        <v>101</v>
      </c>
    </row>
    <row r="3" spans="1:24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Q3" s="1" t="s">
        <v>104</v>
      </c>
      <c r="R3" s="1"/>
      <c r="S3" s="1" t="s">
        <v>102</v>
      </c>
      <c r="T3" s="1" t="s">
        <v>103</v>
      </c>
    </row>
    <row r="4" spans="1:24" ht="17" thickBot="1" x14ac:dyDescent="0.25">
      <c r="B4" t="s">
        <v>0</v>
      </c>
      <c r="C4" t="s">
        <v>1</v>
      </c>
      <c r="D4" t="s">
        <v>2</v>
      </c>
      <c r="E4" t="s">
        <v>3</v>
      </c>
    </row>
    <row r="5" spans="1:24" ht="17" thickBot="1" x14ac:dyDescent="0.25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I5">
        <v>94</v>
      </c>
      <c r="J5">
        <v>98</v>
      </c>
      <c r="K5">
        <v>99</v>
      </c>
      <c r="L5">
        <v>98</v>
      </c>
      <c r="M5">
        <v>99</v>
      </c>
      <c r="O5">
        <f t="shared" ref="O5:O17" si="0">(F5+F$33)*F$2+G$2*(G5+G$33)+H$2*(H5+H$33)+I$2*(I5+I$33+S5+T5)+J$2*(J5+J$33)+K$2*(K5+K$33)+L$2*(L5+L$33)+M$2*(M5+M$33)</f>
        <v>97.990000000000023</v>
      </c>
      <c r="P5" s="7">
        <f>O5/$N$2</f>
        <v>97.99</v>
      </c>
      <c r="Q5" s="1" t="s">
        <v>106</v>
      </c>
      <c r="S5">
        <v>3</v>
      </c>
      <c r="T5">
        <v>3</v>
      </c>
      <c r="V5" s="3" t="s">
        <v>105</v>
      </c>
      <c r="W5" s="4" t="s">
        <v>106</v>
      </c>
      <c r="X5" s="4" t="s">
        <v>107</v>
      </c>
    </row>
    <row r="6" spans="1:24" ht="17" thickBot="1" x14ac:dyDescent="0.25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I6">
        <v>82</v>
      </c>
      <c r="J6">
        <v>100</v>
      </c>
      <c r="K6">
        <v>88</v>
      </c>
      <c r="L6">
        <v>96</v>
      </c>
      <c r="M6">
        <v>96</v>
      </c>
      <c r="O6">
        <f t="shared" si="0"/>
        <v>90.16</v>
      </c>
      <c r="P6" s="7">
        <f t="shared" ref="P6:P24" si="1">O6/$N$2</f>
        <v>90.159999999999982</v>
      </c>
      <c r="Q6" s="1" t="s">
        <v>112</v>
      </c>
      <c r="S6">
        <v>3</v>
      </c>
      <c r="T6">
        <v>3</v>
      </c>
      <c r="V6" s="5" t="s">
        <v>108</v>
      </c>
      <c r="W6" s="6" t="s">
        <v>109</v>
      </c>
      <c r="X6" s="6" t="s">
        <v>110</v>
      </c>
    </row>
    <row r="7" spans="1:24" ht="17" thickBot="1" x14ac:dyDescent="0.25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I7">
        <v>95</v>
      </c>
      <c r="J7">
        <v>92</v>
      </c>
      <c r="K7">
        <v>98</v>
      </c>
      <c r="L7">
        <v>100</v>
      </c>
      <c r="M7">
        <v>100</v>
      </c>
      <c r="O7">
        <f t="shared" si="0"/>
        <v>99.100000000000009</v>
      </c>
      <c r="P7" s="7">
        <f>O7/$N$2</f>
        <v>99.09999999999998</v>
      </c>
      <c r="Q7" s="1" t="s">
        <v>106</v>
      </c>
      <c r="S7">
        <v>3</v>
      </c>
      <c r="T7">
        <v>3</v>
      </c>
      <c r="V7" s="5" t="s">
        <v>111</v>
      </c>
      <c r="W7" s="6" t="s">
        <v>112</v>
      </c>
      <c r="X7" s="6" t="s">
        <v>113</v>
      </c>
    </row>
    <row r="8" spans="1:24" ht="17" thickBot="1" x14ac:dyDescent="0.25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I8">
        <v>99</v>
      </c>
      <c r="J8">
        <v>97</v>
      </c>
      <c r="K8">
        <v>99</v>
      </c>
      <c r="L8">
        <v>100</v>
      </c>
      <c r="M8">
        <v>100</v>
      </c>
      <c r="O8">
        <f t="shared" si="0"/>
        <v>102.67</v>
      </c>
      <c r="P8" s="7">
        <f t="shared" si="1"/>
        <v>102.66999999999997</v>
      </c>
      <c r="Q8" s="1" t="s">
        <v>106</v>
      </c>
      <c r="S8">
        <v>3</v>
      </c>
      <c r="T8">
        <v>3</v>
      </c>
      <c r="V8" s="5" t="s">
        <v>114</v>
      </c>
      <c r="W8" s="6" t="s">
        <v>115</v>
      </c>
      <c r="X8" s="6" t="s">
        <v>116</v>
      </c>
    </row>
    <row r="9" spans="1:24" ht="17" thickBot="1" x14ac:dyDescent="0.25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I9">
        <v>92</v>
      </c>
      <c r="J9">
        <v>96</v>
      </c>
      <c r="K9">
        <v>94</v>
      </c>
      <c r="L9">
        <v>95</v>
      </c>
      <c r="M9">
        <v>90</v>
      </c>
      <c r="O9">
        <f t="shared" si="0"/>
        <v>86.77</v>
      </c>
      <c r="P9" s="7">
        <f>O9/$N$2</f>
        <v>86.769999999999982</v>
      </c>
      <c r="Q9" s="1" t="s">
        <v>115</v>
      </c>
      <c r="S9">
        <v>3</v>
      </c>
      <c r="T9">
        <v>3</v>
      </c>
      <c r="V9" s="5" t="s">
        <v>117</v>
      </c>
      <c r="W9" s="6" t="s">
        <v>118</v>
      </c>
      <c r="X9" s="6" t="s">
        <v>119</v>
      </c>
    </row>
    <row r="10" spans="1:24" ht="17" thickBot="1" x14ac:dyDescent="0.25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I10">
        <v>97</v>
      </c>
      <c r="J10">
        <v>94</v>
      </c>
      <c r="K10">
        <v>98</v>
      </c>
      <c r="L10">
        <v>99</v>
      </c>
      <c r="M10">
        <v>100</v>
      </c>
      <c r="O10">
        <f t="shared" si="0"/>
        <v>97.13000000000001</v>
      </c>
      <c r="P10" s="7">
        <f t="shared" si="1"/>
        <v>97.129999999999981</v>
      </c>
      <c r="Q10" s="1" t="s">
        <v>106</v>
      </c>
      <c r="S10">
        <v>3</v>
      </c>
      <c r="T10">
        <v>3</v>
      </c>
      <c r="V10" s="5" t="s">
        <v>120</v>
      </c>
      <c r="W10" s="6" t="s">
        <v>121</v>
      </c>
      <c r="X10" s="6" t="s">
        <v>122</v>
      </c>
    </row>
    <row r="11" spans="1:24" ht="17" thickBot="1" x14ac:dyDescent="0.25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I11">
        <v>100</v>
      </c>
      <c r="J11">
        <v>99</v>
      </c>
      <c r="K11">
        <v>91</v>
      </c>
      <c r="L11">
        <v>92</v>
      </c>
      <c r="M11">
        <v>92</v>
      </c>
      <c r="O11">
        <f t="shared" si="0"/>
        <v>100.75</v>
      </c>
      <c r="P11" s="7">
        <f t="shared" si="1"/>
        <v>100.74999999999997</v>
      </c>
      <c r="Q11" s="1" t="s">
        <v>106</v>
      </c>
      <c r="S11">
        <v>3</v>
      </c>
      <c r="T11">
        <v>3</v>
      </c>
      <c r="V11" s="5" t="s">
        <v>123</v>
      </c>
      <c r="W11" s="6" t="s">
        <v>124</v>
      </c>
      <c r="X11" s="6" t="s">
        <v>125</v>
      </c>
    </row>
    <row r="12" spans="1:24" ht="17" thickBot="1" x14ac:dyDescent="0.25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I12">
        <v>97</v>
      </c>
      <c r="J12">
        <v>94</v>
      </c>
      <c r="K12">
        <v>92</v>
      </c>
      <c r="L12">
        <v>91</v>
      </c>
      <c r="M12">
        <v>85</v>
      </c>
      <c r="O12">
        <f t="shared" si="0"/>
        <v>90.77</v>
      </c>
      <c r="P12" s="7">
        <f t="shared" si="1"/>
        <v>90.769999999999982</v>
      </c>
      <c r="Q12" s="1" t="s">
        <v>112</v>
      </c>
      <c r="S12">
        <v>3</v>
      </c>
      <c r="T12">
        <v>3</v>
      </c>
      <c r="V12" s="5" t="s">
        <v>126</v>
      </c>
      <c r="W12" s="6" t="s">
        <v>127</v>
      </c>
      <c r="X12" s="6" t="s">
        <v>128</v>
      </c>
    </row>
    <row r="13" spans="1:24" ht="17" thickBot="1" x14ac:dyDescent="0.25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I13">
        <v>95</v>
      </c>
      <c r="J13">
        <v>99</v>
      </c>
      <c r="K13">
        <v>97</v>
      </c>
      <c r="L13">
        <v>100</v>
      </c>
      <c r="M13">
        <v>100</v>
      </c>
      <c r="O13">
        <f t="shared" si="0"/>
        <v>98.89</v>
      </c>
      <c r="P13" s="7">
        <f t="shared" si="1"/>
        <v>98.889999999999972</v>
      </c>
      <c r="Q13" s="1" t="s">
        <v>106</v>
      </c>
      <c r="S13">
        <v>3</v>
      </c>
      <c r="T13">
        <v>3</v>
      </c>
      <c r="V13" s="5" t="s">
        <v>129</v>
      </c>
      <c r="W13" s="6" t="s">
        <v>130</v>
      </c>
      <c r="X13" s="6" t="s">
        <v>131</v>
      </c>
    </row>
    <row r="14" spans="1:24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I14">
        <v>96</v>
      </c>
      <c r="J14">
        <v>95</v>
      </c>
      <c r="K14">
        <v>98</v>
      </c>
      <c r="L14">
        <v>100</v>
      </c>
      <c r="M14">
        <v>100</v>
      </c>
      <c r="O14">
        <f t="shared" si="0"/>
        <v>99.58</v>
      </c>
      <c r="P14" s="7">
        <f t="shared" si="1"/>
        <v>99.57999999999997</v>
      </c>
      <c r="Q14" s="1" t="s">
        <v>106</v>
      </c>
      <c r="S14">
        <v>3</v>
      </c>
      <c r="T14">
        <v>3</v>
      </c>
    </row>
    <row r="15" spans="1:24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I15">
        <v>93</v>
      </c>
      <c r="J15">
        <v>98</v>
      </c>
      <c r="K15">
        <v>99</v>
      </c>
      <c r="L15">
        <v>100</v>
      </c>
      <c r="M15">
        <v>99</v>
      </c>
      <c r="O15">
        <f t="shared" si="0"/>
        <v>97.93</v>
      </c>
      <c r="P15" s="7">
        <f t="shared" si="1"/>
        <v>97.929999999999978</v>
      </c>
      <c r="Q15" s="1" t="s">
        <v>106</v>
      </c>
      <c r="T15">
        <v>3</v>
      </c>
    </row>
    <row r="16" spans="1:24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I16">
        <v>85</v>
      </c>
      <c r="J16">
        <v>91</v>
      </c>
      <c r="K16">
        <v>85</v>
      </c>
      <c r="L16">
        <v>87</v>
      </c>
      <c r="M16">
        <v>80</v>
      </c>
      <c r="O16">
        <f t="shared" si="0"/>
        <v>77.08</v>
      </c>
      <c r="P16" s="7">
        <f t="shared" si="1"/>
        <v>77.079999999999984</v>
      </c>
      <c r="Q16" s="1" t="s">
        <v>124</v>
      </c>
      <c r="S16">
        <v>3</v>
      </c>
      <c r="T16">
        <v>3</v>
      </c>
    </row>
    <row r="17" spans="1:20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I17">
        <v>86</v>
      </c>
      <c r="J17">
        <v>93</v>
      </c>
      <c r="K17">
        <v>98</v>
      </c>
      <c r="L17">
        <v>93</v>
      </c>
      <c r="M17">
        <v>92</v>
      </c>
      <c r="O17">
        <f t="shared" si="0"/>
        <v>89.950000000000017</v>
      </c>
      <c r="P17" s="7">
        <f t="shared" si="1"/>
        <v>89.95</v>
      </c>
      <c r="Q17" s="1" t="s">
        <v>112</v>
      </c>
      <c r="S17">
        <v>3</v>
      </c>
      <c r="T17">
        <v>3</v>
      </c>
    </row>
    <row r="18" spans="1:20" x14ac:dyDescent="0.2">
      <c r="P18" s="7"/>
    </row>
    <row r="19" spans="1:20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I19">
        <v>98</v>
      </c>
      <c r="J19">
        <v>98</v>
      </c>
      <c r="K19">
        <v>100</v>
      </c>
      <c r="L19">
        <v>100</v>
      </c>
      <c r="M19">
        <v>98</v>
      </c>
      <c r="O19">
        <f t="shared" ref="O19:O24" si="2">(F19+F$33)*F$2+G$2*(G19+G$33)+H$2*(H19+H$33)+I$2*(I19+I$33+S19+T19)+J$2*(J19+J$33)+K$2*(K19+K$33)+L$2*(L19+L$33)+M$2*(M19+M$33)</f>
        <v>102.36</v>
      </c>
      <c r="P19" s="7">
        <f t="shared" si="1"/>
        <v>102.35999999999997</v>
      </c>
      <c r="Q19" s="1" t="s">
        <v>106</v>
      </c>
      <c r="S19">
        <v>3</v>
      </c>
      <c r="T19">
        <v>3</v>
      </c>
    </row>
    <row r="20" spans="1:20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I20">
        <v>99</v>
      </c>
      <c r="J20">
        <v>96</v>
      </c>
      <c r="K20">
        <v>100</v>
      </c>
      <c r="L20">
        <v>95</v>
      </c>
      <c r="M20">
        <v>96</v>
      </c>
      <c r="O20">
        <f t="shared" si="2"/>
        <v>100.78999999999999</v>
      </c>
      <c r="P20" s="7">
        <f t="shared" si="1"/>
        <v>100.78999999999996</v>
      </c>
      <c r="Q20" s="1" t="s">
        <v>106</v>
      </c>
      <c r="S20">
        <v>3</v>
      </c>
      <c r="T20">
        <v>3</v>
      </c>
    </row>
    <row r="21" spans="1:20" hidden="1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2"/>
        <v>28.980000000000004</v>
      </c>
      <c r="P21" s="7">
        <f t="shared" si="1"/>
        <v>28.979999999999997</v>
      </c>
    </row>
    <row r="22" spans="1:20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I22">
        <v>100</v>
      </c>
      <c r="J22">
        <v>92</v>
      </c>
      <c r="K22">
        <v>91</v>
      </c>
      <c r="L22">
        <v>92</v>
      </c>
      <c r="M22">
        <v>94</v>
      </c>
      <c r="O22">
        <f t="shared" si="2"/>
        <v>94.87</v>
      </c>
      <c r="P22" s="7">
        <f t="shared" si="1"/>
        <v>94.86999999999999</v>
      </c>
      <c r="Q22" s="1" t="s">
        <v>109</v>
      </c>
      <c r="S22">
        <v>3</v>
      </c>
      <c r="T22">
        <v>3</v>
      </c>
    </row>
    <row r="23" spans="1:20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I23">
        <v>93</v>
      </c>
      <c r="J23">
        <v>90</v>
      </c>
      <c r="K23">
        <v>94</v>
      </c>
      <c r="L23">
        <v>98</v>
      </c>
      <c r="M23">
        <v>97</v>
      </c>
      <c r="O23">
        <f t="shared" si="2"/>
        <v>94.820000000000022</v>
      </c>
      <c r="P23" s="7">
        <f t="shared" si="1"/>
        <v>94.820000000000007</v>
      </c>
      <c r="Q23" s="1" t="s">
        <v>109</v>
      </c>
      <c r="S23">
        <v>3</v>
      </c>
      <c r="T23">
        <v>3</v>
      </c>
    </row>
    <row r="24" spans="1:20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I24">
        <v>83</v>
      </c>
      <c r="J24">
        <v>95</v>
      </c>
      <c r="K24">
        <v>96</v>
      </c>
      <c r="L24">
        <v>92</v>
      </c>
      <c r="M24">
        <v>85</v>
      </c>
      <c r="O24">
        <f t="shared" si="2"/>
        <v>88.779999999999987</v>
      </c>
      <c r="P24" s="7">
        <f t="shared" si="1"/>
        <v>88.779999999999973</v>
      </c>
      <c r="Q24" s="1" t="s">
        <v>115</v>
      </c>
      <c r="S24">
        <v>3</v>
      </c>
      <c r="T24">
        <v>3</v>
      </c>
    </row>
    <row r="25" spans="1:20" x14ac:dyDescent="0.2">
      <c r="P25" s="7"/>
    </row>
    <row r="26" spans="1:20" x14ac:dyDescent="0.2">
      <c r="P26" s="7"/>
    </row>
    <row r="27" spans="1:20" x14ac:dyDescent="0.2">
      <c r="B27" s="1" t="s">
        <v>70</v>
      </c>
      <c r="F27">
        <v>0.2</v>
      </c>
      <c r="G27">
        <v>0.2</v>
      </c>
      <c r="H27">
        <v>0.2</v>
      </c>
      <c r="I27">
        <v>0.2</v>
      </c>
      <c r="K27">
        <v>0.05</v>
      </c>
      <c r="L27">
        <v>0.05</v>
      </c>
      <c r="M27">
        <v>0.1</v>
      </c>
      <c r="N27">
        <f>SUM(F27:M27)</f>
        <v>1.0000000000000002</v>
      </c>
      <c r="P27" s="7"/>
    </row>
    <row r="28" spans="1:20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I28">
        <v>92</v>
      </c>
      <c r="K28">
        <v>75</v>
      </c>
      <c r="L28">
        <v>85</v>
      </c>
      <c r="M28">
        <v>75</v>
      </c>
      <c r="O28">
        <f>(F28+F$33)*F$27+G$27*(G28+G$33)+H$27*(H28+H$33)+I$27*(I28+I$33+S28+T28)+J$27*(J28+J$33)+K$27*(K28+K$33)+L$27*(L28+L$33)+M$27*(M28+M$33)</f>
        <v>87.300000000000011</v>
      </c>
      <c r="P28" s="7">
        <f>O28/$N$27</f>
        <v>87.3</v>
      </c>
      <c r="Q28" s="1" t="s">
        <v>115</v>
      </c>
      <c r="S28">
        <v>3</v>
      </c>
      <c r="T28">
        <v>3</v>
      </c>
    </row>
    <row r="29" spans="1:20" hidden="1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10.999999999999998</v>
      </c>
    </row>
    <row r="30" spans="1:20" x14ac:dyDescent="0.2">
      <c r="B30" s="1"/>
      <c r="C30" s="1"/>
      <c r="D30" s="1"/>
    </row>
    <row r="31" spans="1:20" x14ac:dyDescent="0.2">
      <c r="E31" s="1" t="s">
        <v>98</v>
      </c>
      <c r="F31">
        <f>AVERAGE(F5:F24,F28:F29)</f>
        <v>82.952380952380949</v>
      </c>
      <c r="G31">
        <f t="shared" ref="G31" si="3">AVERAGE(G5:G24,G28:G29)</f>
        <v>85.523809523809518</v>
      </c>
      <c r="H31">
        <f>AVERAGE(H5:H24,H28:H29)</f>
        <v>84</v>
      </c>
      <c r="I31">
        <f>AVERAGE(I5:I24,I28:I29)</f>
        <v>93.473684210526315</v>
      </c>
      <c r="J31">
        <f>AVERAGE(J5:J24,J28:J29)</f>
        <v>95.388888888888886</v>
      </c>
      <c r="K31">
        <f t="shared" ref="K31:N31" si="4">AVERAGE(K5:K24,K28:K29)</f>
        <v>94.1</v>
      </c>
      <c r="L31">
        <f t="shared" si="4"/>
        <v>95.421052631578945</v>
      </c>
      <c r="M31">
        <f t="shared" si="4"/>
        <v>93.578947368421055</v>
      </c>
      <c r="N31" t="e">
        <f t="shared" si="4"/>
        <v>#DIV/0!</v>
      </c>
      <c r="S31">
        <f>COUNT(S5:S24,S28)</f>
        <v>18</v>
      </c>
      <c r="T31">
        <f>COUNT(T5:T24,T28)</f>
        <v>19</v>
      </c>
    </row>
    <row r="32" spans="1:20" x14ac:dyDescent="0.2">
      <c r="E32" s="1" t="s">
        <v>100</v>
      </c>
      <c r="F32">
        <f>STDEV(F5:F24,F28:F29)</f>
        <v>18.829434910469786</v>
      </c>
      <c r="G32">
        <f t="shared" ref="G32:I32" si="5">STDEV(G5:G24,G28:G29)</f>
        <v>18.06825682687473</v>
      </c>
      <c r="H32">
        <f t="shared" si="5"/>
        <v>13.45362404707371</v>
      </c>
      <c r="I32">
        <f t="shared" si="5"/>
        <v>5.6604713295373754</v>
      </c>
      <c r="J32">
        <f t="shared" ref="J32:N32" si="6">STDEV(J5:J24,J28:J29)</f>
        <v>2.992911014358643</v>
      </c>
      <c r="K32">
        <f t="shared" si="6"/>
        <v>6.239939270959546</v>
      </c>
      <c r="L32">
        <f t="shared" si="6"/>
        <v>4.670424552123289</v>
      </c>
      <c r="M32">
        <f t="shared" si="6"/>
        <v>7.4633607969844871</v>
      </c>
      <c r="N32" t="e">
        <f t="shared" si="6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93.473684210526315</v>
      </c>
      <c r="J34">
        <f>J31+J33</f>
        <v>95.388888888888886</v>
      </c>
      <c r="K34">
        <f>K31+K33</f>
        <v>94.1</v>
      </c>
      <c r="L34">
        <f>L31+L33</f>
        <v>95.421052631578945</v>
      </c>
      <c r="M34">
        <f>M31+M33</f>
        <v>93.578947368421055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7">SUM(B38:B52)</f>
        <v>100</v>
      </c>
      <c r="C53">
        <f t="shared" si="7"/>
        <v>93</v>
      </c>
      <c r="D53">
        <f t="shared" si="7"/>
        <v>81</v>
      </c>
      <c r="E53">
        <f t="shared" si="7"/>
        <v>97</v>
      </c>
      <c r="F53">
        <f t="shared" si="7"/>
        <v>98</v>
      </c>
      <c r="G53">
        <f t="shared" si="7"/>
        <v>76</v>
      </c>
      <c r="H53">
        <f t="shared" si="7"/>
        <v>94</v>
      </c>
      <c r="I53">
        <f t="shared" si="7"/>
        <v>94</v>
      </c>
      <c r="J53">
        <f t="shared" si="7"/>
        <v>85</v>
      </c>
      <c r="K53">
        <f t="shared" si="7"/>
        <v>92</v>
      </c>
      <c r="L53">
        <f t="shared" si="7"/>
        <v>93</v>
      </c>
      <c r="M53">
        <f t="shared" si="7"/>
        <v>100</v>
      </c>
      <c r="N53">
        <f t="shared" si="7"/>
        <v>51</v>
      </c>
      <c r="O53">
        <f t="shared" si="7"/>
        <v>78</v>
      </c>
      <c r="P53">
        <f t="shared" si="7"/>
        <v>100</v>
      </c>
      <c r="Q53">
        <f t="shared" si="7"/>
        <v>94</v>
      </c>
      <c r="R53">
        <f t="shared" si="7"/>
        <v>70</v>
      </c>
      <c r="S53">
        <f t="shared" si="7"/>
        <v>90</v>
      </c>
      <c r="T53">
        <f t="shared" si="7"/>
        <v>86</v>
      </c>
      <c r="U53">
        <f t="shared" si="7"/>
        <v>78</v>
      </c>
      <c r="V53">
        <f t="shared" si="7"/>
        <v>72</v>
      </c>
      <c r="W53">
        <f t="shared" si="7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8">SUM(B56:B69)</f>
        <v>100</v>
      </c>
      <c r="C70">
        <f t="shared" si="8"/>
        <v>93</v>
      </c>
      <c r="D70">
        <f t="shared" si="8"/>
        <v>87</v>
      </c>
      <c r="E70">
        <f t="shared" si="8"/>
        <v>98</v>
      </c>
      <c r="F70">
        <f t="shared" si="8"/>
        <v>99</v>
      </c>
      <c r="G70">
        <f t="shared" si="8"/>
        <v>86</v>
      </c>
      <c r="H70">
        <f t="shared" si="8"/>
        <v>90</v>
      </c>
      <c r="I70">
        <f t="shared" si="8"/>
        <v>100</v>
      </c>
      <c r="J70">
        <f t="shared" si="8"/>
        <v>85</v>
      </c>
      <c r="K70">
        <f t="shared" si="8"/>
        <v>95</v>
      </c>
      <c r="L70">
        <f t="shared" si="8"/>
        <v>94</v>
      </c>
      <c r="M70">
        <f t="shared" si="8"/>
        <v>90</v>
      </c>
      <c r="N70">
        <f t="shared" si="8"/>
        <v>72</v>
      </c>
      <c r="O70">
        <f t="shared" si="8"/>
        <v>88</v>
      </c>
      <c r="P70">
        <f t="shared" si="8"/>
        <v>96</v>
      </c>
      <c r="Q70">
        <f t="shared" si="8"/>
        <v>100</v>
      </c>
      <c r="R70">
        <f t="shared" si="8"/>
        <v>65</v>
      </c>
      <c r="S70">
        <f t="shared" si="8"/>
        <v>81</v>
      </c>
      <c r="T70">
        <f t="shared" si="8"/>
        <v>93</v>
      </c>
      <c r="U70">
        <f t="shared" si="8"/>
        <v>81</v>
      </c>
      <c r="V70">
        <f t="shared" si="8"/>
        <v>86</v>
      </c>
      <c r="W70">
        <f t="shared" si="8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9">SUM(B73:B86)</f>
        <v>100</v>
      </c>
      <c r="C87">
        <f t="shared" si="9"/>
        <v>87</v>
      </c>
      <c r="D87">
        <f t="shared" si="9"/>
        <v>72</v>
      </c>
      <c r="E87">
        <f t="shared" si="9"/>
        <v>89</v>
      </c>
      <c r="F87">
        <f t="shared" si="9"/>
        <v>100</v>
      </c>
      <c r="G87">
        <f t="shared" si="9"/>
        <v>53</v>
      </c>
      <c r="H87">
        <f t="shared" si="9"/>
        <v>84</v>
      </c>
      <c r="I87">
        <f t="shared" si="9"/>
        <v>98</v>
      </c>
      <c r="J87">
        <f t="shared" si="9"/>
        <v>72</v>
      </c>
      <c r="K87">
        <f t="shared" si="9"/>
        <v>89</v>
      </c>
      <c r="L87">
        <f t="shared" si="9"/>
        <v>96</v>
      </c>
      <c r="M87">
        <f t="shared" si="9"/>
        <v>86</v>
      </c>
      <c r="N87">
        <f t="shared" si="9"/>
        <v>55</v>
      </c>
      <c r="O87">
        <f t="shared" si="9"/>
        <v>76</v>
      </c>
      <c r="P87">
        <f t="shared" si="9"/>
        <v>100</v>
      </c>
      <c r="Q87">
        <f t="shared" si="9"/>
        <v>96</v>
      </c>
      <c r="R87">
        <f t="shared" si="9"/>
        <v>0</v>
      </c>
      <c r="S87">
        <f t="shared" si="9"/>
        <v>90</v>
      </c>
      <c r="T87">
        <f t="shared" si="9"/>
        <v>86</v>
      </c>
      <c r="U87">
        <f t="shared" si="9"/>
        <v>82</v>
      </c>
      <c r="V87">
        <f t="shared" si="9"/>
        <v>85</v>
      </c>
      <c r="W87">
        <f t="shared" si="9"/>
        <v>0</v>
      </c>
    </row>
    <row r="89" spans="1:23" x14ac:dyDescent="0.2">
      <c r="B89" s="1" t="s">
        <v>64</v>
      </c>
      <c r="C89" s="1" t="s">
        <v>77</v>
      </c>
      <c r="D89" s="1" t="s">
        <v>78</v>
      </c>
      <c r="E89" s="1" t="s">
        <v>79</v>
      </c>
      <c r="F89" s="1" t="s">
        <v>80</v>
      </c>
      <c r="G89" s="1" t="s">
        <v>81</v>
      </c>
      <c r="H89" s="1" t="s">
        <v>82</v>
      </c>
      <c r="I89" s="1" t="s">
        <v>83</v>
      </c>
      <c r="J89" s="1" t="s">
        <v>84</v>
      </c>
      <c r="K89" s="1" t="s">
        <v>85</v>
      </c>
      <c r="L89" s="1" t="s">
        <v>86</v>
      </c>
      <c r="M89" s="1" t="s">
        <v>87</v>
      </c>
      <c r="N89" s="1" t="s">
        <v>88</v>
      </c>
      <c r="O89" s="1" t="s">
        <v>89</v>
      </c>
      <c r="P89" s="1" t="s">
        <v>90</v>
      </c>
      <c r="Q89" s="1" t="s">
        <v>91</v>
      </c>
      <c r="R89" s="1"/>
      <c r="S89" s="1" t="s">
        <v>93</v>
      </c>
      <c r="T89" s="1" t="s">
        <v>94</v>
      </c>
      <c r="U89" s="1" t="s">
        <v>95</v>
      </c>
      <c r="V89" s="1" t="s">
        <v>96</v>
      </c>
      <c r="W89" s="1"/>
    </row>
    <row r="90" spans="1:23" x14ac:dyDescent="0.2">
      <c r="A90">
        <v>1</v>
      </c>
      <c r="B90">
        <v>18</v>
      </c>
      <c r="C90">
        <v>18</v>
      </c>
      <c r="D90">
        <v>17</v>
      </c>
      <c r="E90">
        <v>18</v>
      </c>
      <c r="F90">
        <v>18</v>
      </c>
      <c r="G90">
        <v>14</v>
      </c>
      <c r="H90">
        <v>17</v>
      </c>
      <c r="I90">
        <v>18</v>
      </c>
      <c r="J90">
        <v>18</v>
      </c>
      <c r="K90">
        <v>16</v>
      </c>
      <c r="L90">
        <v>18</v>
      </c>
      <c r="M90">
        <v>18</v>
      </c>
      <c r="N90">
        <v>16</v>
      </c>
      <c r="O90">
        <v>18</v>
      </c>
      <c r="P90">
        <v>18</v>
      </c>
      <c r="Q90">
        <v>18</v>
      </c>
      <c r="S90">
        <v>18</v>
      </c>
      <c r="T90">
        <v>17</v>
      </c>
      <c r="U90">
        <v>16</v>
      </c>
      <c r="V90">
        <v>18</v>
      </c>
    </row>
    <row r="91" spans="1:23" x14ac:dyDescent="0.2">
      <c r="A91">
        <v>2</v>
      </c>
      <c r="B91">
        <v>2</v>
      </c>
      <c r="C91">
        <v>2</v>
      </c>
      <c r="D91">
        <v>1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1</v>
      </c>
      <c r="O91">
        <v>2</v>
      </c>
      <c r="P91">
        <v>2</v>
      </c>
      <c r="Q91">
        <v>2</v>
      </c>
      <c r="S91">
        <v>2</v>
      </c>
      <c r="T91">
        <v>2</v>
      </c>
      <c r="U91">
        <v>2</v>
      </c>
      <c r="V91">
        <v>2</v>
      </c>
    </row>
    <row r="92" spans="1:23" x14ac:dyDescent="0.2">
      <c r="A92">
        <v>3</v>
      </c>
      <c r="B92">
        <v>8</v>
      </c>
      <c r="C92">
        <v>8</v>
      </c>
      <c r="D92">
        <v>3</v>
      </c>
      <c r="E92">
        <v>8</v>
      </c>
      <c r="F92">
        <v>8</v>
      </c>
      <c r="G92">
        <v>8</v>
      </c>
      <c r="H92">
        <v>8</v>
      </c>
      <c r="I92">
        <v>8</v>
      </c>
      <c r="J92">
        <v>8</v>
      </c>
      <c r="K92">
        <v>8</v>
      </c>
      <c r="L92">
        <v>8</v>
      </c>
      <c r="M92">
        <v>6</v>
      </c>
      <c r="N92">
        <v>5</v>
      </c>
      <c r="O92">
        <v>8</v>
      </c>
      <c r="P92">
        <v>8</v>
      </c>
      <c r="Q92">
        <v>8</v>
      </c>
      <c r="S92">
        <v>8</v>
      </c>
      <c r="T92">
        <v>8</v>
      </c>
      <c r="U92">
        <v>7</v>
      </c>
      <c r="V92">
        <v>8</v>
      </c>
    </row>
    <row r="93" spans="1:23" x14ac:dyDescent="0.2">
      <c r="A93">
        <v>4</v>
      </c>
      <c r="B93">
        <v>12</v>
      </c>
      <c r="C93">
        <v>11</v>
      </c>
      <c r="D93">
        <v>9</v>
      </c>
      <c r="E93">
        <v>11</v>
      </c>
      <c r="F93">
        <v>12</v>
      </c>
      <c r="G93">
        <v>12</v>
      </c>
      <c r="H93">
        <v>12</v>
      </c>
      <c r="I93">
        <v>12</v>
      </c>
      <c r="J93">
        <v>11</v>
      </c>
      <c r="K93">
        <v>12</v>
      </c>
      <c r="L93">
        <v>11</v>
      </c>
      <c r="M93">
        <v>10</v>
      </c>
      <c r="N93">
        <v>10</v>
      </c>
      <c r="O93">
        <v>9</v>
      </c>
      <c r="P93">
        <v>12</v>
      </c>
      <c r="Q93">
        <v>11</v>
      </c>
      <c r="S93">
        <v>12</v>
      </c>
      <c r="T93">
        <v>11</v>
      </c>
      <c r="U93">
        <v>10</v>
      </c>
      <c r="V93">
        <v>10</v>
      </c>
    </row>
    <row r="94" spans="1:23" x14ac:dyDescent="0.2">
      <c r="A94">
        <v>5</v>
      </c>
      <c r="B94">
        <v>12</v>
      </c>
      <c r="C94">
        <v>10</v>
      </c>
      <c r="D94">
        <v>12</v>
      </c>
      <c r="E94">
        <v>12</v>
      </c>
      <c r="F94">
        <v>12</v>
      </c>
      <c r="G94">
        <v>12</v>
      </c>
      <c r="H94">
        <v>12</v>
      </c>
      <c r="I94">
        <v>12</v>
      </c>
      <c r="J94">
        <v>11</v>
      </c>
      <c r="K94">
        <v>12</v>
      </c>
      <c r="L94">
        <v>12</v>
      </c>
      <c r="M94">
        <v>11</v>
      </c>
      <c r="N94">
        <v>9</v>
      </c>
      <c r="O94">
        <v>10</v>
      </c>
      <c r="P94">
        <v>12</v>
      </c>
      <c r="Q94">
        <v>12</v>
      </c>
      <c r="S94">
        <v>12</v>
      </c>
      <c r="T94">
        <v>12</v>
      </c>
      <c r="U94">
        <v>11</v>
      </c>
      <c r="V94">
        <v>12</v>
      </c>
    </row>
    <row r="95" spans="1:23" x14ac:dyDescent="0.2">
      <c r="A95">
        <v>6</v>
      </c>
      <c r="B95">
        <v>4</v>
      </c>
      <c r="C95">
        <v>4</v>
      </c>
      <c r="D95">
        <v>3</v>
      </c>
      <c r="E95">
        <v>4</v>
      </c>
      <c r="F95">
        <v>4</v>
      </c>
      <c r="G95">
        <v>4</v>
      </c>
      <c r="H95">
        <v>4</v>
      </c>
      <c r="I95">
        <v>4</v>
      </c>
      <c r="J95">
        <v>4</v>
      </c>
      <c r="K95">
        <v>4</v>
      </c>
      <c r="L95">
        <v>4</v>
      </c>
      <c r="M95">
        <v>4</v>
      </c>
      <c r="N95">
        <v>3</v>
      </c>
      <c r="O95">
        <v>4</v>
      </c>
      <c r="P95">
        <v>4</v>
      </c>
      <c r="Q95">
        <v>4</v>
      </c>
      <c r="S95">
        <v>4</v>
      </c>
      <c r="T95">
        <v>4</v>
      </c>
      <c r="U95">
        <v>4</v>
      </c>
      <c r="V95">
        <v>4</v>
      </c>
    </row>
    <row r="96" spans="1:23" x14ac:dyDescent="0.2">
      <c r="A96">
        <v>7</v>
      </c>
      <c r="B96">
        <v>6</v>
      </c>
      <c r="C96">
        <v>6</v>
      </c>
      <c r="D96">
        <v>6</v>
      </c>
      <c r="E96">
        <v>6</v>
      </c>
      <c r="F96">
        <v>6</v>
      </c>
      <c r="G96">
        <v>6</v>
      </c>
      <c r="H96">
        <v>5</v>
      </c>
      <c r="I96">
        <v>6</v>
      </c>
      <c r="J96">
        <v>6</v>
      </c>
      <c r="K96">
        <v>6</v>
      </c>
      <c r="L96">
        <v>6</v>
      </c>
      <c r="M96">
        <v>6</v>
      </c>
      <c r="N96">
        <v>4</v>
      </c>
      <c r="O96">
        <v>4</v>
      </c>
      <c r="P96">
        <v>6</v>
      </c>
      <c r="Q96">
        <v>6</v>
      </c>
      <c r="S96">
        <v>6</v>
      </c>
      <c r="T96">
        <v>4</v>
      </c>
      <c r="U96">
        <v>4</v>
      </c>
      <c r="V96">
        <v>4</v>
      </c>
    </row>
    <row r="97" spans="1:22" x14ac:dyDescent="0.2">
      <c r="A97">
        <v>8</v>
      </c>
      <c r="B97">
        <v>6</v>
      </c>
      <c r="C97">
        <v>6</v>
      </c>
      <c r="D97">
        <v>5</v>
      </c>
      <c r="E97">
        <v>6</v>
      </c>
      <c r="F97">
        <v>6</v>
      </c>
      <c r="G97">
        <v>6</v>
      </c>
      <c r="H97">
        <v>6</v>
      </c>
      <c r="I97">
        <v>6</v>
      </c>
      <c r="J97">
        <v>6</v>
      </c>
      <c r="K97">
        <v>6</v>
      </c>
      <c r="L97">
        <v>6</v>
      </c>
      <c r="M97">
        <v>6</v>
      </c>
      <c r="N97">
        <v>6</v>
      </c>
      <c r="O97">
        <v>2</v>
      </c>
      <c r="P97">
        <v>6</v>
      </c>
      <c r="Q97">
        <v>6</v>
      </c>
      <c r="S97">
        <v>6</v>
      </c>
      <c r="T97">
        <v>6</v>
      </c>
      <c r="U97">
        <v>4</v>
      </c>
      <c r="V97">
        <v>6</v>
      </c>
    </row>
    <row r="98" spans="1:22" x14ac:dyDescent="0.2">
      <c r="A98">
        <v>9</v>
      </c>
      <c r="B98">
        <v>6</v>
      </c>
      <c r="C98">
        <v>5</v>
      </c>
      <c r="D98">
        <v>4</v>
      </c>
      <c r="E98">
        <v>5</v>
      </c>
      <c r="F98">
        <v>5</v>
      </c>
      <c r="G98">
        <v>5</v>
      </c>
      <c r="H98">
        <v>5</v>
      </c>
      <c r="I98">
        <v>6</v>
      </c>
      <c r="J98">
        <v>6</v>
      </c>
      <c r="K98">
        <v>6</v>
      </c>
      <c r="L98">
        <v>5</v>
      </c>
      <c r="M98">
        <v>5</v>
      </c>
      <c r="N98">
        <v>6</v>
      </c>
      <c r="O98">
        <v>5</v>
      </c>
      <c r="P98">
        <v>5</v>
      </c>
      <c r="Q98">
        <v>6</v>
      </c>
      <c r="S98">
        <v>6</v>
      </c>
      <c r="T98">
        <v>5</v>
      </c>
      <c r="U98">
        <v>5</v>
      </c>
      <c r="V98">
        <v>4</v>
      </c>
    </row>
    <row r="99" spans="1:22" x14ac:dyDescent="0.2">
      <c r="A99">
        <v>10</v>
      </c>
      <c r="B99">
        <v>6</v>
      </c>
      <c r="C99">
        <v>6</v>
      </c>
      <c r="D99">
        <v>6</v>
      </c>
      <c r="E99">
        <v>6</v>
      </c>
      <c r="F99">
        <v>6</v>
      </c>
      <c r="G99">
        <v>3</v>
      </c>
      <c r="H99">
        <v>6</v>
      </c>
      <c r="I99">
        <v>6</v>
      </c>
      <c r="J99">
        <v>6</v>
      </c>
      <c r="K99">
        <v>5</v>
      </c>
      <c r="L99">
        <v>6</v>
      </c>
      <c r="M99">
        <v>6</v>
      </c>
      <c r="N99">
        <v>5</v>
      </c>
      <c r="O99">
        <v>6</v>
      </c>
      <c r="P99">
        <v>6</v>
      </c>
      <c r="Q99">
        <v>6</v>
      </c>
      <c r="S99">
        <v>6</v>
      </c>
      <c r="T99">
        <v>6</v>
      </c>
      <c r="U99">
        <v>4</v>
      </c>
      <c r="V99">
        <v>6</v>
      </c>
    </row>
    <row r="100" spans="1:22" x14ac:dyDescent="0.2">
      <c r="A100">
        <v>11</v>
      </c>
      <c r="B100">
        <v>6</v>
      </c>
      <c r="C100">
        <v>5</v>
      </c>
      <c r="D100">
        <v>4</v>
      </c>
      <c r="E100">
        <v>6</v>
      </c>
      <c r="F100">
        <v>6</v>
      </c>
      <c r="G100">
        <v>6</v>
      </c>
      <c r="H100">
        <v>6</v>
      </c>
      <c r="I100">
        <v>6</v>
      </c>
      <c r="J100">
        <v>6</v>
      </c>
      <c r="K100">
        <v>6</v>
      </c>
      <c r="L100">
        <v>6</v>
      </c>
      <c r="M100">
        <v>5</v>
      </c>
      <c r="N100">
        <v>6</v>
      </c>
      <c r="O100">
        <v>6</v>
      </c>
      <c r="P100">
        <v>5</v>
      </c>
      <c r="Q100">
        <v>6</v>
      </c>
      <c r="S100">
        <v>6</v>
      </c>
      <c r="T100">
        <v>6</v>
      </c>
      <c r="U100">
        <v>6</v>
      </c>
      <c r="V100">
        <v>6</v>
      </c>
    </row>
    <row r="101" spans="1:22" x14ac:dyDescent="0.2">
      <c r="A101">
        <v>12</v>
      </c>
      <c r="B101">
        <v>6</v>
      </c>
      <c r="C101">
        <v>6</v>
      </c>
      <c r="D101">
        <v>6</v>
      </c>
      <c r="E101">
        <v>6</v>
      </c>
      <c r="F101">
        <v>6</v>
      </c>
      <c r="G101">
        <v>6</v>
      </c>
      <c r="H101">
        <v>6</v>
      </c>
      <c r="I101">
        <v>6</v>
      </c>
      <c r="J101">
        <v>6</v>
      </c>
      <c r="K101">
        <v>6</v>
      </c>
      <c r="L101">
        <v>6</v>
      </c>
      <c r="M101">
        <v>6</v>
      </c>
      <c r="N101">
        <v>6</v>
      </c>
      <c r="O101">
        <v>4</v>
      </c>
      <c r="P101">
        <v>6</v>
      </c>
      <c r="Q101">
        <v>6</v>
      </c>
      <c r="S101">
        <v>6</v>
      </c>
      <c r="T101">
        <v>6</v>
      </c>
      <c r="U101">
        <v>5</v>
      </c>
      <c r="V101">
        <v>6</v>
      </c>
    </row>
    <row r="102" spans="1:22" x14ac:dyDescent="0.2">
      <c r="A102">
        <v>13</v>
      </c>
      <c r="B102">
        <v>8</v>
      </c>
      <c r="C102">
        <v>7</v>
      </c>
      <c r="D102">
        <v>6</v>
      </c>
      <c r="E102">
        <v>5</v>
      </c>
      <c r="F102">
        <v>8</v>
      </c>
      <c r="G102">
        <v>8</v>
      </c>
      <c r="H102">
        <v>8</v>
      </c>
      <c r="I102">
        <v>8</v>
      </c>
      <c r="J102">
        <v>7</v>
      </c>
      <c r="K102">
        <v>6</v>
      </c>
      <c r="L102">
        <v>6</v>
      </c>
      <c r="M102">
        <v>8</v>
      </c>
      <c r="N102">
        <v>8</v>
      </c>
      <c r="O102">
        <v>8</v>
      </c>
      <c r="P102">
        <v>8</v>
      </c>
      <c r="Q102">
        <v>8</v>
      </c>
      <c r="S102">
        <v>8</v>
      </c>
      <c r="T102">
        <v>6</v>
      </c>
      <c r="U102">
        <v>5</v>
      </c>
      <c r="V102">
        <v>6</v>
      </c>
    </row>
    <row r="103" spans="1:22" x14ac:dyDescent="0.2">
      <c r="A103" s="1" t="s">
        <v>76</v>
      </c>
      <c r="B103">
        <f t="shared" ref="B103:Q103" si="10">SUM(B90:B102)</f>
        <v>100</v>
      </c>
      <c r="C103">
        <f t="shared" si="10"/>
        <v>94</v>
      </c>
      <c r="D103">
        <f t="shared" si="10"/>
        <v>82</v>
      </c>
      <c r="E103">
        <f t="shared" si="10"/>
        <v>95</v>
      </c>
      <c r="F103">
        <f t="shared" si="10"/>
        <v>99</v>
      </c>
      <c r="G103">
        <f t="shared" si="10"/>
        <v>92</v>
      </c>
      <c r="H103">
        <f t="shared" si="10"/>
        <v>97</v>
      </c>
      <c r="I103">
        <f t="shared" si="10"/>
        <v>100</v>
      </c>
      <c r="J103">
        <f t="shared" si="10"/>
        <v>97</v>
      </c>
      <c r="K103">
        <f t="shared" si="10"/>
        <v>95</v>
      </c>
      <c r="L103">
        <f t="shared" si="10"/>
        <v>96</v>
      </c>
      <c r="M103">
        <f t="shared" si="10"/>
        <v>93</v>
      </c>
      <c r="N103">
        <f t="shared" si="10"/>
        <v>85</v>
      </c>
      <c r="O103">
        <f t="shared" si="10"/>
        <v>86</v>
      </c>
      <c r="P103">
        <f t="shared" si="10"/>
        <v>98</v>
      </c>
      <c r="Q103">
        <f t="shared" si="10"/>
        <v>99</v>
      </c>
      <c r="S103">
        <f>SUM(S90:S102)</f>
        <v>100</v>
      </c>
      <c r="T103">
        <f>SUM(T90:T102)</f>
        <v>93</v>
      </c>
      <c r="U103">
        <f>SUM(U90:U102)</f>
        <v>83</v>
      </c>
      <c r="V103">
        <f>SUM(V90:V102)</f>
        <v>92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2026-05-08T15:27:43Z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