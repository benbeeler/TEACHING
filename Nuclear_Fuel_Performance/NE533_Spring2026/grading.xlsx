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7BD08C70-6821-9347-8E77-91E96B98DF9D}" xr6:coauthVersionLast="47" xr6:coauthVersionMax="47" xr10:uidLastSave="{00000000-0000-0000-0000-000000000000}"/>
  <bookViews>
    <workbookView xWindow="15840" yWindow="3440" windowWidth="2398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7" i="1" l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P29" i="1" s="1"/>
  <c r="P28" i="1"/>
  <c r="O28" i="1"/>
  <c r="O20" i="1"/>
  <c r="P20" i="1"/>
  <c r="O21" i="1"/>
  <c r="P21" i="1" s="1"/>
  <c r="O22" i="1"/>
  <c r="P22" i="1" s="1"/>
  <c r="O23" i="1"/>
  <c r="P23" i="1" s="1"/>
  <c r="O24" i="1"/>
  <c r="P24" i="1" s="1"/>
  <c r="O19" i="1"/>
  <c r="P19" i="1" s="1"/>
  <c r="O6" i="1"/>
  <c r="O7" i="1"/>
  <c r="P7" i="1" s="1"/>
  <c r="O8" i="1"/>
  <c r="P8" i="1" s="1"/>
  <c r="O9" i="1"/>
  <c r="P9" i="1" s="1"/>
  <c r="O10" i="1"/>
  <c r="P10" i="1" s="1"/>
  <c r="O11" i="1"/>
  <c r="O12" i="1"/>
  <c r="P12" i="1" s="1"/>
  <c r="O13" i="1"/>
  <c r="O14" i="1"/>
  <c r="P14" i="1" s="1"/>
  <c r="O15" i="1"/>
  <c r="O16" i="1"/>
  <c r="O17" i="1"/>
  <c r="P17" i="1" s="1"/>
  <c r="P6" i="1"/>
  <c r="P11" i="1"/>
  <c r="P13" i="1"/>
  <c r="P15" i="1"/>
  <c r="P16" i="1"/>
  <c r="O5" i="1"/>
  <c r="P5" i="1" s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J31" i="1"/>
  <c r="J34" i="1" s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H31" i="1"/>
  <c r="H34" i="1" s="1"/>
  <c r="I31" i="1"/>
  <c r="I34" i="1" s="1"/>
  <c r="G32" i="1"/>
  <c r="H32" i="1"/>
  <c r="I32" i="1"/>
  <c r="F32" i="1"/>
  <c r="F31" i="1"/>
  <c r="F34" i="1" s="1"/>
  <c r="N27" i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</calcChain>
</file>

<file path=xl/sharedStrings.xml><?xml version="1.0" encoding="utf-8"?>
<sst xmlns="http://schemas.openxmlformats.org/spreadsheetml/2006/main" count="151" uniqueCount="102">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</sst>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7"/>
  <sheetViews>
    <sheetView tabSelected="1" workbookViewId="0">
      <selection activeCell="L7" sqref="L7"/>
    </sheetView>
  </sheetViews>
  <sheetFormatPr baseColWidth="10" defaultRowHeight="16" x14ac:dyDescent="0.2"/>
  <cols>
    <col min="10" max="10" width="12.5" customWidth="1"/>
  </cols>
  <sheetData>
    <row r="1" spans="1:16" x14ac:dyDescent="0.2">
      <c r="H1">
        <v>0.16</v>
      </c>
      <c r="I1">
        <v>0.16</v>
      </c>
      <c r="J1">
        <v>0.16</v>
      </c>
      <c r="K1">
        <v>0.05</v>
      </c>
      <c r="L1">
        <v>0.05</v>
      </c>
      <c r="M1">
        <v>0.1</v>
      </c>
    </row>
    <row r="2" spans="1:16" x14ac:dyDescent="0.2">
      <c r="F2">
        <v>0.16</v>
      </c>
      <c r="G2">
        <v>0.16</v>
      </c>
      <c r="K2">
        <v>0.05</v>
      </c>
      <c r="N2">
        <f>SUM(F2:M2)</f>
        <v>0.37</v>
      </c>
      <c r="O2" s="1" t="s">
        <v>101</v>
      </c>
    </row>
    <row r="3" spans="1:16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6" x14ac:dyDescent="0.2">
      <c r="B4" t="s">
        <v>0</v>
      </c>
      <c r="C4" t="s">
        <v>1</v>
      </c>
      <c r="D4" t="s">
        <v>2</v>
      </c>
      <c r="E4" t="s">
        <v>3</v>
      </c>
    </row>
    <row r="5" spans="1:16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K5">
        <v>99</v>
      </c>
      <c r="O5">
        <f>(F5+F$33)*F$2+G$2*(G5+G$33)+H$2*(H5+H$33)+I$2*(I5+I$33)+J$2*(J5+J$33)+K$2*(K5+K$33)+L$2*(L5+L$33)+M$2*(M5+M$33)</f>
        <v>36.630000000000003</v>
      </c>
      <c r="P5" s="2">
        <f>O5/$N$2</f>
        <v>99.000000000000014</v>
      </c>
    </row>
    <row r="6" spans="1:16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K6">
        <v>88</v>
      </c>
      <c r="O6">
        <f t="shared" ref="O6:O17" si="0">(F6+F$33)*F$2+G$2*(G6+G$33)+H$2*(H6+H$33)+I$2*(I6+I$33)+J$2*(J6+J$33)+K$2*(K6+K$33)+L$2*(L6+L$33)+M$2*(M6+M$33)</f>
        <v>33.200000000000003</v>
      </c>
      <c r="P6" s="2">
        <f t="shared" ref="P6:P24" si="1">O6/$N$2</f>
        <v>89.72972972972974</v>
      </c>
    </row>
    <row r="7" spans="1:16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K7">
        <v>98</v>
      </c>
      <c r="O7">
        <f t="shared" si="0"/>
        <v>38.020000000000003</v>
      </c>
      <c r="P7" s="2">
        <f t="shared" si="1"/>
        <v>102.75675675675677</v>
      </c>
    </row>
    <row r="8" spans="1:16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K8">
        <v>99</v>
      </c>
      <c r="O8">
        <f t="shared" si="0"/>
        <v>38.39</v>
      </c>
      <c r="P8" s="2">
        <f t="shared" si="1"/>
        <v>103.75675675675676</v>
      </c>
    </row>
    <row r="9" spans="1:16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K9">
        <v>94</v>
      </c>
      <c r="O9">
        <f t="shared" si="0"/>
        <v>32.540000000000006</v>
      </c>
      <c r="P9" s="2">
        <f t="shared" si="1"/>
        <v>87.945945945945965</v>
      </c>
    </row>
    <row r="10" spans="1:16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K10">
        <v>98</v>
      </c>
      <c r="O10">
        <f t="shared" si="0"/>
        <v>36.26</v>
      </c>
      <c r="P10" s="2">
        <f t="shared" si="1"/>
        <v>98</v>
      </c>
    </row>
    <row r="11" spans="1:16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K11">
        <v>91</v>
      </c>
      <c r="O11">
        <f t="shared" si="0"/>
        <v>37.51</v>
      </c>
      <c r="P11" s="2">
        <f t="shared" si="1"/>
        <v>101.37837837837837</v>
      </c>
    </row>
    <row r="12" spans="1:16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K12">
        <v>92</v>
      </c>
      <c r="O12">
        <f t="shared" si="0"/>
        <v>33.72</v>
      </c>
      <c r="P12" s="2">
        <f t="shared" si="1"/>
        <v>91.13513513513513</v>
      </c>
    </row>
    <row r="13" spans="1:16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K13">
        <v>97</v>
      </c>
      <c r="O13">
        <f t="shared" si="0"/>
        <v>36.69</v>
      </c>
      <c r="P13" s="2">
        <f t="shared" si="1"/>
        <v>99.162162162162161</v>
      </c>
    </row>
    <row r="14" spans="1:16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K14">
        <v>98</v>
      </c>
      <c r="O14">
        <f t="shared" si="0"/>
        <v>36.74</v>
      </c>
      <c r="P14" s="2">
        <f t="shared" si="1"/>
        <v>99.297297297297305</v>
      </c>
    </row>
    <row r="15" spans="1:16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K15">
        <v>99</v>
      </c>
      <c r="O15">
        <f t="shared" si="0"/>
        <v>37.270000000000003</v>
      </c>
      <c r="P15" s="2">
        <f t="shared" si="1"/>
        <v>100.72972972972974</v>
      </c>
    </row>
    <row r="16" spans="1:16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K16">
        <v>85</v>
      </c>
      <c r="O16">
        <f t="shared" si="0"/>
        <v>25.85</v>
      </c>
      <c r="P16" s="2">
        <f t="shared" si="1"/>
        <v>69.86486486486487</v>
      </c>
    </row>
    <row r="17" spans="1:16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K17">
        <v>98</v>
      </c>
      <c r="O17">
        <f t="shared" si="0"/>
        <v>33.380000000000003</v>
      </c>
      <c r="P17" s="2">
        <f t="shared" si="1"/>
        <v>90.216216216216225</v>
      </c>
    </row>
    <row r="18" spans="1:16" x14ac:dyDescent="0.2">
      <c r="P18" s="2"/>
    </row>
    <row r="19" spans="1:16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K19">
        <v>100</v>
      </c>
      <c r="O19">
        <f t="shared" ref="O19" si="2">(F19+F$33)*F$2+G$2*(G19+G$33)+H$2*(H19+H$33)+I$2*(I19+I$33)+J$2*(J19+J$33)+K$2*(K19+K$33)+L$2*(L19+L$33)+M$2*(M19+M$33)</f>
        <v>38.28</v>
      </c>
      <c r="P19" s="2">
        <f t="shared" si="1"/>
        <v>103.45945945945947</v>
      </c>
    </row>
    <row r="20" spans="1:16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K20">
        <v>100</v>
      </c>
      <c r="O20">
        <f t="shared" ref="O20:O24" si="3">(F20+F$33)*F$2+G$2*(G20+G$33)+H$2*(H20+H$33)+I$2*(I20+I$33)+J$2*(J20+J$33)+K$2*(K20+K$33)+L$2*(L20+L$33)+M$2*(M20+M$33)</f>
        <v>37.96</v>
      </c>
      <c r="P20" s="2">
        <f t="shared" si="1"/>
        <v>102.5945945945946</v>
      </c>
    </row>
    <row r="21" spans="1:16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3"/>
        <v>28.020000000000003</v>
      </c>
      <c r="P21" s="2">
        <f t="shared" si="1"/>
        <v>75.72972972972974</v>
      </c>
    </row>
    <row r="22" spans="1:16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K22">
        <v>91</v>
      </c>
      <c r="O22">
        <f t="shared" si="3"/>
        <v>33.83</v>
      </c>
      <c r="P22" s="2">
        <f t="shared" si="1"/>
        <v>91.432432432432435</v>
      </c>
    </row>
    <row r="23" spans="1:16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K23">
        <v>94</v>
      </c>
      <c r="O23">
        <f t="shared" si="3"/>
        <v>35.260000000000005</v>
      </c>
      <c r="P23" s="2">
        <f t="shared" si="1"/>
        <v>95.297297297297305</v>
      </c>
    </row>
    <row r="24" spans="1:16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K24">
        <v>96</v>
      </c>
      <c r="O24">
        <f t="shared" si="3"/>
        <v>32.159999999999997</v>
      </c>
      <c r="P24" s="2">
        <f t="shared" si="1"/>
        <v>86.918918918918905</v>
      </c>
    </row>
    <row r="25" spans="1:16" x14ac:dyDescent="0.2">
      <c r="P25" s="2"/>
    </row>
    <row r="26" spans="1:16" x14ac:dyDescent="0.2">
      <c r="H26">
        <v>0.2</v>
      </c>
      <c r="I26">
        <v>0.2</v>
      </c>
      <c r="K26">
        <v>0.05</v>
      </c>
      <c r="L26">
        <v>0.05</v>
      </c>
      <c r="M26">
        <v>0.1</v>
      </c>
      <c r="P26" s="2"/>
    </row>
    <row r="27" spans="1:16" x14ac:dyDescent="0.2">
      <c r="B27" s="1" t="s">
        <v>70</v>
      </c>
      <c r="F27">
        <v>0.2</v>
      </c>
      <c r="G27">
        <v>0.2</v>
      </c>
      <c r="K27">
        <v>0.05</v>
      </c>
      <c r="N27">
        <f>SUM(F27:M27)</f>
        <v>0.45</v>
      </c>
      <c r="P27" s="2"/>
    </row>
    <row r="28" spans="1:16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K28">
        <v>75</v>
      </c>
      <c r="O28">
        <f>(F28+F$33)*F$27+G$27*(G28+G$33)+H$27*(H28+H$33)+I$27*(I28+I$33)+J$27*(J28+J$33)+K$27*(K28+K$33)+L$27*(L28+L$33)+M$27*(M28+M$33)</f>
        <v>37.75</v>
      </c>
      <c r="P28" s="2">
        <f>O28/$N$27</f>
        <v>83.888888888888886</v>
      </c>
    </row>
    <row r="29" spans="1:16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9.8000000000000007</v>
      </c>
      <c r="P29" s="2">
        <f>O29/$N$27</f>
        <v>21.777777777777779</v>
      </c>
    </row>
    <row r="30" spans="1:16" x14ac:dyDescent="0.2">
      <c r="B30" s="1"/>
      <c r="C30" s="1"/>
      <c r="D30" s="1"/>
    </row>
    <row r="31" spans="1:16" x14ac:dyDescent="0.2">
      <c r="E31" s="1" t="s">
        <v>98</v>
      </c>
      <c r="F31">
        <f>AVERAGE(F5:F24,F28:F29)</f>
        <v>82.952380952380949</v>
      </c>
      <c r="G31">
        <f t="shared" ref="G31:I31" si="4">AVERAGE(G5:G24,G28:G29)</f>
        <v>85.523809523809518</v>
      </c>
      <c r="H31" t="e">
        <f t="shared" si="4"/>
        <v>#DIV/0!</v>
      </c>
      <c r="I31" t="e">
        <f t="shared" si="4"/>
        <v>#DIV/0!</v>
      </c>
      <c r="J31" t="e">
        <f t="shared" ref="J31:N31" si="5">AVERAGE(J5:J24,J28:J29)</f>
        <v>#DIV/0!</v>
      </c>
      <c r="K31">
        <f t="shared" si="5"/>
        <v>94.1</v>
      </c>
      <c r="L31" t="e">
        <f t="shared" si="5"/>
        <v>#DIV/0!</v>
      </c>
      <c r="M31" t="e">
        <f t="shared" si="5"/>
        <v>#DIV/0!</v>
      </c>
      <c r="N31" t="e">
        <f t="shared" si="5"/>
        <v>#DIV/0!</v>
      </c>
    </row>
    <row r="32" spans="1:16" x14ac:dyDescent="0.2">
      <c r="E32" s="1" t="s">
        <v>100</v>
      </c>
      <c r="F32">
        <f>STDEV(F5:F24,F28:F29)</f>
        <v>18.829434910469786</v>
      </c>
      <c r="G32">
        <f t="shared" ref="G32:I32" si="6">STDEV(G5:G24,G28:G29)</f>
        <v>18.06825682687473</v>
      </c>
      <c r="H32" t="e">
        <f t="shared" si="6"/>
        <v>#DIV/0!</v>
      </c>
      <c r="I32" t="e">
        <f t="shared" si="6"/>
        <v>#DIV/0!</v>
      </c>
      <c r="J32" t="e">
        <f t="shared" ref="J32:N32" si="7">STDEV(J5:J24,J28:J29)</f>
        <v>#DIV/0!</v>
      </c>
      <c r="K32">
        <f t="shared" si="7"/>
        <v>6.239939270959546</v>
      </c>
      <c r="L32" t="e">
        <f t="shared" si="7"/>
        <v>#DIV/0!</v>
      </c>
      <c r="M32" t="e">
        <f t="shared" si="7"/>
        <v>#DIV/0!</v>
      </c>
      <c r="N32" t="e">
        <f t="shared" si="7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/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 t="shared" ref="G34:I34" si="8">G31+G33</f>
        <v>90.523809523809518</v>
      </c>
      <c r="H34" t="e">
        <f t="shared" si="8"/>
        <v>#DIV/0!</v>
      </c>
      <c r="I34" t="e">
        <f t="shared" si="8"/>
        <v>#DIV/0!</v>
      </c>
      <c r="J34" t="e">
        <f t="shared" ref="J34" si="9">J31+J33</f>
        <v>#DIV/0!</v>
      </c>
      <c r="K34">
        <f t="shared" ref="K34" si="10">K31+K33</f>
        <v>94.1</v>
      </c>
      <c r="L34" t="e">
        <f t="shared" ref="L34" si="11">L31+L33</f>
        <v>#DIV/0!</v>
      </c>
      <c r="M34" t="e">
        <f t="shared" ref="M34" si="12">M31+M33</f>
        <v>#DIV/0!</v>
      </c>
      <c r="N34" t="e">
        <f t="shared" ref="N34" si="13"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14">SUM(B38:B52)</f>
        <v>100</v>
      </c>
      <c r="C53">
        <f t="shared" si="14"/>
        <v>93</v>
      </c>
      <c r="D53">
        <f t="shared" si="14"/>
        <v>81</v>
      </c>
      <c r="E53">
        <f t="shared" si="14"/>
        <v>97</v>
      </c>
      <c r="F53">
        <f t="shared" si="14"/>
        <v>98</v>
      </c>
      <c r="G53">
        <f t="shared" si="14"/>
        <v>76</v>
      </c>
      <c r="H53">
        <f t="shared" si="14"/>
        <v>94</v>
      </c>
      <c r="I53">
        <f t="shared" si="14"/>
        <v>94</v>
      </c>
      <c r="J53">
        <f t="shared" si="14"/>
        <v>85</v>
      </c>
      <c r="K53">
        <f t="shared" si="14"/>
        <v>92</v>
      </c>
      <c r="L53">
        <f t="shared" si="14"/>
        <v>93</v>
      </c>
      <c r="M53">
        <f t="shared" si="14"/>
        <v>100</v>
      </c>
      <c r="N53">
        <f t="shared" si="14"/>
        <v>51</v>
      </c>
      <c r="O53">
        <f t="shared" si="14"/>
        <v>78</v>
      </c>
      <c r="P53">
        <f t="shared" si="14"/>
        <v>100</v>
      </c>
      <c r="Q53">
        <f t="shared" si="14"/>
        <v>94</v>
      </c>
      <c r="R53">
        <f t="shared" si="14"/>
        <v>70</v>
      </c>
      <c r="S53">
        <f t="shared" si="14"/>
        <v>90</v>
      </c>
      <c r="T53">
        <f t="shared" si="14"/>
        <v>86</v>
      </c>
      <c r="U53">
        <f t="shared" si="14"/>
        <v>78</v>
      </c>
      <c r="V53">
        <f t="shared" si="14"/>
        <v>72</v>
      </c>
      <c r="W53">
        <f t="shared" si="14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15">SUM(B56:B69)</f>
        <v>100</v>
      </c>
      <c r="C70">
        <f t="shared" si="15"/>
        <v>93</v>
      </c>
      <c r="D70">
        <f t="shared" si="15"/>
        <v>87</v>
      </c>
      <c r="E70">
        <f t="shared" si="15"/>
        <v>98</v>
      </c>
      <c r="F70">
        <f t="shared" si="15"/>
        <v>99</v>
      </c>
      <c r="G70">
        <f t="shared" si="15"/>
        <v>86</v>
      </c>
      <c r="H70">
        <f t="shared" si="15"/>
        <v>90</v>
      </c>
      <c r="I70">
        <f t="shared" si="15"/>
        <v>100</v>
      </c>
      <c r="J70">
        <f t="shared" si="15"/>
        <v>85</v>
      </c>
      <c r="K70">
        <f t="shared" si="15"/>
        <v>95</v>
      </c>
      <c r="L70">
        <f t="shared" si="15"/>
        <v>94</v>
      </c>
      <c r="M70">
        <f t="shared" si="15"/>
        <v>90</v>
      </c>
      <c r="N70">
        <f t="shared" si="15"/>
        <v>72</v>
      </c>
      <c r="O70">
        <f t="shared" si="15"/>
        <v>88</v>
      </c>
      <c r="P70">
        <f t="shared" si="15"/>
        <v>96</v>
      </c>
      <c r="Q70">
        <f t="shared" si="15"/>
        <v>100</v>
      </c>
      <c r="R70">
        <f t="shared" si="15"/>
        <v>65</v>
      </c>
      <c r="S70">
        <f t="shared" si="15"/>
        <v>81</v>
      </c>
      <c r="T70">
        <f t="shared" si="15"/>
        <v>93</v>
      </c>
      <c r="U70">
        <f t="shared" si="15"/>
        <v>81</v>
      </c>
      <c r="V70">
        <f t="shared" si="15"/>
        <v>86</v>
      </c>
      <c r="W70">
        <f t="shared" si="15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</row>
    <row r="74" spans="1:23" x14ac:dyDescent="0.2">
      <c r="A74">
        <v>2</v>
      </c>
      <c r="B74">
        <v>8</v>
      </c>
    </row>
    <row r="75" spans="1:23" x14ac:dyDescent="0.2">
      <c r="A75">
        <v>3</v>
      </c>
      <c r="B75">
        <v>8</v>
      </c>
    </row>
    <row r="76" spans="1:23" x14ac:dyDescent="0.2">
      <c r="A76">
        <v>4</v>
      </c>
      <c r="B76">
        <v>4</v>
      </c>
    </row>
    <row r="77" spans="1:23" x14ac:dyDescent="0.2">
      <c r="A77">
        <v>5</v>
      </c>
      <c r="B77">
        <v>5</v>
      </c>
    </row>
    <row r="78" spans="1:23" x14ac:dyDescent="0.2">
      <c r="A78">
        <v>6</v>
      </c>
      <c r="B78">
        <v>3</v>
      </c>
    </row>
    <row r="79" spans="1:23" x14ac:dyDescent="0.2">
      <c r="A79">
        <v>7</v>
      </c>
      <c r="B79">
        <v>10</v>
      </c>
    </row>
    <row r="80" spans="1:23" x14ac:dyDescent="0.2">
      <c r="A80">
        <v>8</v>
      </c>
      <c r="B80">
        <v>8</v>
      </c>
    </row>
    <row r="81" spans="1:23" x14ac:dyDescent="0.2">
      <c r="A81">
        <v>9</v>
      </c>
      <c r="B81">
        <v>5</v>
      </c>
    </row>
    <row r="82" spans="1:23" x14ac:dyDescent="0.2">
      <c r="A82">
        <v>10</v>
      </c>
      <c r="B82">
        <v>8</v>
      </c>
    </row>
    <row r="83" spans="1:23" x14ac:dyDescent="0.2">
      <c r="A83">
        <v>11</v>
      </c>
      <c r="B83">
        <v>6</v>
      </c>
    </row>
    <row r="84" spans="1:23" x14ac:dyDescent="0.2">
      <c r="A84">
        <v>12</v>
      </c>
      <c r="B84">
        <v>8</v>
      </c>
    </row>
    <row r="85" spans="1:23" x14ac:dyDescent="0.2">
      <c r="A85">
        <v>13</v>
      </c>
      <c r="B85">
        <v>12</v>
      </c>
    </row>
    <row r="86" spans="1:23" x14ac:dyDescent="0.2">
      <c r="A86">
        <v>14</v>
      </c>
      <c r="B86">
        <v>5</v>
      </c>
    </row>
    <row r="87" spans="1:23" x14ac:dyDescent="0.2">
      <c r="A87" s="1" t="s">
        <v>76</v>
      </c>
      <c r="B87">
        <f t="shared" ref="B87:W87" si="16">SUM(B73:B86)</f>
        <v>100</v>
      </c>
      <c r="C87">
        <f t="shared" si="16"/>
        <v>0</v>
      </c>
      <c r="D87">
        <f t="shared" si="16"/>
        <v>0</v>
      </c>
      <c r="E87">
        <f t="shared" si="16"/>
        <v>0</v>
      </c>
      <c r="F87">
        <f t="shared" si="16"/>
        <v>0</v>
      </c>
      <c r="G87">
        <f t="shared" si="16"/>
        <v>0</v>
      </c>
      <c r="H87">
        <f t="shared" si="16"/>
        <v>0</v>
      </c>
      <c r="I87">
        <f t="shared" si="16"/>
        <v>0</v>
      </c>
      <c r="J87">
        <f t="shared" si="16"/>
        <v>0</v>
      </c>
      <c r="K87">
        <f t="shared" si="16"/>
        <v>0</v>
      </c>
      <c r="L87">
        <f t="shared" si="16"/>
        <v>0</v>
      </c>
      <c r="M87">
        <f t="shared" si="16"/>
        <v>0</v>
      </c>
      <c r="N87">
        <f t="shared" si="16"/>
        <v>0</v>
      </c>
      <c r="O87">
        <f t="shared" si="16"/>
        <v>0</v>
      </c>
      <c r="P87">
        <f t="shared" si="16"/>
        <v>0</v>
      </c>
      <c r="Q87">
        <f t="shared" si="16"/>
        <v>0</v>
      </c>
      <c r="R87">
        <f t="shared" si="16"/>
        <v>0</v>
      </c>
      <c r="S87">
        <f t="shared" si="16"/>
        <v>0</v>
      </c>
      <c r="T87">
        <f t="shared" si="16"/>
        <v>0</v>
      </c>
      <c r="U87">
        <f t="shared" si="16"/>
        <v>0</v>
      </c>
      <c r="V87">
        <f t="shared" si="16"/>
        <v>0</v>
      </c>
      <c r="W87">
        <f t="shared" si="16"/>
        <v>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2026-04-02T15:43:49Z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