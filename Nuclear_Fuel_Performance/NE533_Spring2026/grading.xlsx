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BBD5A68E-AA79-1A47-BACF-30B8207C3211}" xr6:coauthVersionLast="47" xr6:coauthVersionMax="47" xr10:uidLastSave="{00000000-0000-0000-0000-000000000000}"/>
  <bookViews>
    <workbookView xWindow="21520" yWindow="1380" windowWidth="27200" windowHeight="158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1" l="1"/>
  <c r="S31" i="1"/>
  <c r="O16" i="1"/>
  <c r="O28" i="1" l="1"/>
  <c r="O2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N27" i="1"/>
  <c r="P28" i="1"/>
  <c r="O5" i="1"/>
  <c r="J34" i="1"/>
  <c r="J31" i="1"/>
  <c r="O22" i="1"/>
  <c r="O6" i="1"/>
  <c r="O7" i="1"/>
  <c r="O8" i="1"/>
  <c r="O9" i="1"/>
  <c r="O10" i="1"/>
  <c r="O11" i="1"/>
  <c r="O12" i="1"/>
  <c r="O13" i="1"/>
  <c r="O14" i="1"/>
  <c r="O15" i="1"/>
  <c r="O17" i="1"/>
  <c r="O19" i="1"/>
  <c r="O20" i="1"/>
  <c r="O21" i="1"/>
  <c r="O23" i="1"/>
  <c r="I34" i="1"/>
  <c r="H31" i="1"/>
  <c r="H34" i="1" s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G32" i="1"/>
  <c r="H32" i="1"/>
  <c r="I32" i="1"/>
  <c r="F32" i="1"/>
  <c r="F31" i="1"/>
  <c r="F34" i="1" s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0" i="1" l="1"/>
  <c r="P22" i="1"/>
  <c r="P23" i="1"/>
  <c r="P24" i="1"/>
  <c r="P7" i="1"/>
  <c r="P8" i="1"/>
  <c r="P10" i="1"/>
  <c r="P12" i="1"/>
  <c r="P14" i="1"/>
  <c r="P5" i="1"/>
  <c r="P21" i="1"/>
  <c r="P9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<sst xmlns="http://schemas.openxmlformats.org/spreadsheetml/2006/main" count="176" uniqueCount="104">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</sst>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"/>
  <sheetViews>
    <sheetView tabSelected="1" workbookViewId="0">
      <selection activeCell="R5" sqref="R5"/>
    </sheetView>
  </sheetViews>
  <sheetFormatPr baseColWidth="10" defaultRowHeight="16" x14ac:dyDescent="0.2"/>
  <cols>
    <col min="10" max="10" width="12.5" customWidth="1"/>
  </cols>
  <sheetData>
    <row r="1" spans="1:19" x14ac:dyDescent="0.2">
      <c r="I1">
        <v>0.16</v>
      </c>
      <c r="M1">
        <v>0.1</v>
      </c>
    </row>
    <row r="2" spans="1:19" x14ac:dyDescent="0.2">
      <c r="F2">
        <v>0.16</v>
      </c>
      <c r="G2">
        <v>0.16</v>
      </c>
      <c r="H2">
        <v>0.16</v>
      </c>
      <c r="J2">
        <v>0.16</v>
      </c>
      <c r="K2">
        <v>0.05</v>
      </c>
      <c r="L2">
        <v>0.05</v>
      </c>
      <c r="N2">
        <f>SUM(F2:M2)</f>
        <v>0.7400000000000001</v>
      </c>
      <c r="O2" s="1" t="s">
        <v>101</v>
      </c>
    </row>
    <row r="3" spans="1:19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  <c r="R3" s="1" t="s">
        <v>102</v>
      </c>
      <c r="S3" s="1" t="s">
        <v>103</v>
      </c>
    </row>
    <row r="4" spans="1:19" x14ac:dyDescent="0.2">
      <c r="B4" t="s">
        <v>0</v>
      </c>
      <c r="C4" t="s">
        <v>1</v>
      </c>
      <c r="D4" t="s">
        <v>2</v>
      </c>
      <c r="E4" t="s">
        <v>3</v>
      </c>
    </row>
    <row r="5" spans="1:19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J5">
        <v>98</v>
      </c>
      <c r="K5">
        <v>99</v>
      </c>
      <c r="L5">
        <v>98</v>
      </c>
      <c r="O5">
        <f>(F5+F$33)*F$2+G$2*(G5+G$33)+H$2*(H5+H$33)+I$2*(I5+I$33+R5+S5)+J$2*(J5+J$33)+K$2*(K5+K$33)+L$2*(L5+L$33)+M$2*(M5+M$33)</f>
        <v>72.09</v>
      </c>
      <c r="P5" s="2">
        <f>O5/$N$2</f>
        <v>97.418918918918905</v>
      </c>
      <c r="S5">
        <v>3</v>
      </c>
    </row>
    <row r="6" spans="1:19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J6">
        <v>100</v>
      </c>
      <c r="K6">
        <v>88</v>
      </c>
      <c r="L6">
        <v>96</v>
      </c>
      <c r="O6">
        <f t="shared" ref="O6:O23" si="0">(F6+F$33)*F$2+G$2*(G6+G$33)+H$2*(H6+H$33)+I$2*(I6+I$33+R6+S6)+J$2*(J6+J$33)+K$2*(K6+K$33)+L$2*(L6+L$33)+M$2*(M6+M$33)</f>
        <v>66.48</v>
      </c>
      <c r="P6" s="2">
        <f t="shared" ref="P6:P24" si="1">O6/$N$2</f>
        <v>89.837837837837824</v>
      </c>
      <c r="R6">
        <v>3</v>
      </c>
      <c r="S6">
        <v>3</v>
      </c>
    </row>
    <row r="7" spans="1:19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J7">
        <v>92</v>
      </c>
      <c r="K7">
        <v>98</v>
      </c>
      <c r="L7">
        <v>100</v>
      </c>
      <c r="O7">
        <f t="shared" si="0"/>
        <v>72.940000000000012</v>
      </c>
      <c r="P7" s="2">
        <f t="shared" si="1"/>
        <v>98.567567567567565</v>
      </c>
      <c r="S7">
        <v>3</v>
      </c>
    </row>
    <row r="8" spans="1:19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J8">
        <v>97</v>
      </c>
      <c r="K8">
        <v>99</v>
      </c>
      <c r="L8">
        <v>100</v>
      </c>
      <c r="O8">
        <f t="shared" si="0"/>
        <v>75.87</v>
      </c>
      <c r="P8" s="2">
        <f t="shared" si="1"/>
        <v>102.52702702702702</v>
      </c>
      <c r="R8">
        <v>3</v>
      </c>
      <c r="S8">
        <v>3</v>
      </c>
    </row>
    <row r="9" spans="1:19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J9">
        <v>96</v>
      </c>
      <c r="K9">
        <v>94</v>
      </c>
      <c r="L9">
        <v>95</v>
      </c>
      <c r="O9">
        <f t="shared" si="0"/>
        <v>62.09</v>
      </c>
      <c r="P9" s="2">
        <f t="shared" si="1"/>
        <v>83.905405405405403</v>
      </c>
      <c r="R9">
        <v>3</v>
      </c>
      <c r="S9">
        <v>3</v>
      </c>
    </row>
    <row r="10" spans="1:19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J10">
        <v>94</v>
      </c>
      <c r="K10">
        <v>98</v>
      </c>
      <c r="L10">
        <v>99</v>
      </c>
      <c r="O10">
        <f t="shared" si="0"/>
        <v>70.650000000000006</v>
      </c>
      <c r="P10" s="2">
        <f t="shared" si="1"/>
        <v>95.472972972972968</v>
      </c>
      <c r="R10">
        <v>3</v>
      </c>
      <c r="S10">
        <v>3</v>
      </c>
    </row>
    <row r="11" spans="1:19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J11">
        <v>99</v>
      </c>
      <c r="K11">
        <v>91</v>
      </c>
      <c r="L11">
        <v>92</v>
      </c>
      <c r="O11">
        <f t="shared" si="0"/>
        <v>74.589999999999989</v>
      </c>
      <c r="P11" s="2">
        <f t="shared" si="1"/>
        <v>100.79729729729726</v>
      </c>
      <c r="R11">
        <v>3</v>
      </c>
      <c r="S11">
        <v>3</v>
      </c>
    </row>
    <row r="12" spans="1:19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J12">
        <v>94</v>
      </c>
      <c r="K12">
        <v>92</v>
      </c>
      <c r="L12">
        <v>91</v>
      </c>
      <c r="O12">
        <f t="shared" si="0"/>
        <v>65.790000000000006</v>
      </c>
      <c r="P12" s="2">
        <f t="shared" si="1"/>
        <v>88.905405405405403</v>
      </c>
      <c r="R12">
        <v>3</v>
      </c>
      <c r="S12">
        <v>3</v>
      </c>
    </row>
    <row r="13" spans="1:19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J13">
        <v>99</v>
      </c>
      <c r="K13">
        <v>97</v>
      </c>
      <c r="L13">
        <v>100</v>
      </c>
      <c r="O13">
        <f t="shared" si="0"/>
        <v>72.72999999999999</v>
      </c>
      <c r="P13" s="2">
        <f t="shared" si="1"/>
        <v>98.283783783783761</v>
      </c>
      <c r="R13">
        <v>3</v>
      </c>
      <c r="S13">
        <v>3</v>
      </c>
    </row>
    <row r="14" spans="1:19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J14">
        <v>95</v>
      </c>
      <c r="K14">
        <v>98</v>
      </c>
      <c r="L14">
        <v>100</v>
      </c>
      <c r="O14">
        <f t="shared" si="0"/>
        <v>73.260000000000005</v>
      </c>
      <c r="P14" s="2">
        <f t="shared" si="1"/>
        <v>99</v>
      </c>
      <c r="R14">
        <v>3</v>
      </c>
      <c r="S14">
        <v>3</v>
      </c>
    </row>
    <row r="15" spans="1:19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J15">
        <v>98</v>
      </c>
      <c r="K15">
        <v>99</v>
      </c>
      <c r="L15">
        <v>100</v>
      </c>
      <c r="O15">
        <f t="shared" si="0"/>
        <v>72.67</v>
      </c>
      <c r="P15" s="2">
        <f t="shared" si="1"/>
        <v>98.202702702702695</v>
      </c>
      <c r="S15">
        <v>3</v>
      </c>
    </row>
    <row r="16" spans="1:19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J16">
        <v>91</v>
      </c>
      <c r="K16">
        <v>85</v>
      </c>
      <c r="L16">
        <v>87</v>
      </c>
      <c r="O16">
        <f>(F16+F$33)*F$2+G$2*(G16+G$33)+H$2*(H16+H$33)+I$2*(I16+I$33+R16+S16)+J$2*(J16+J$33)+K$2*(K16+K$33)+L$2*(L16+L$33)+M$2*(M16+M$33)</f>
        <v>54.52</v>
      </c>
      <c r="P16" s="2">
        <f t="shared" si="1"/>
        <v>73.675675675675663</v>
      </c>
      <c r="R16">
        <v>3</v>
      </c>
      <c r="S16">
        <v>3</v>
      </c>
    </row>
    <row r="17" spans="1:19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J17">
        <v>93</v>
      </c>
      <c r="K17">
        <v>98</v>
      </c>
      <c r="L17">
        <v>93</v>
      </c>
      <c r="O17">
        <f t="shared" si="0"/>
        <v>66.03</v>
      </c>
      <c r="P17" s="2">
        <f t="shared" si="1"/>
        <v>89.229729729729712</v>
      </c>
      <c r="S17">
        <v>3</v>
      </c>
    </row>
    <row r="18" spans="1:19" x14ac:dyDescent="0.2">
      <c r="P18" s="2"/>
    </row>
    <row r="19" spans="1:19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J19">
        <v>98</v>
      </c>
      <c r="K19">
        <v>100</v>
      </c>
      <c r="L19">
        <v>100</v>
      </c>
      <c r="O19">
        <f t="shared" si="0"/>
        <v>75.92</v>
      </c>
      <c r="P19" s="2">
        <f t="shared" si="1"/>
        <v>102.59459459459458</v>
      </c>
      <c r="R19">
        <v>3</v>
      </c>
      <c r="S19">
        <v>3</v>
      </c>
    </row>
    <row r="20" spans="1:19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J20">
        <v>96</v>
      </c>
      <c r="K20">
        <v>100</v>
      </c>
      <c r="L20">
        <v>95</v>
      </c>
      <c r="O20">
        <f t="shared" si="0"/>
        <v>74.39</v>
      </c>
      <c r="P20" s="2">
        <f t="shared" si="1"/>
        <v>100.52702702702702</v>
      </c>
      <c r="R20">
        <v>3</v>
      </c>
      <c r="S20">
        <v>3</v>
      </c>
    </row>
    <row r="21" spans="1:19" hidden="1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0"/>
        <v>28.980000000000004</v>
      </c>
      <c r="P21" s="2">
        <f t="shared" si="1"/>
        <v>39.162162162162161</v>
      </c>
    </row>
    <row r="22" spans="1:19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J22">
        <v>92</v>
      </c>
      <c r="K22">
        <v>91</v>
      </c>
      <c r="L22">
        <v>92</v>
      </c>
      <c r="O22">
        <f t="shared" si="0"/>
        <v>68.509999999999991</v>
      </c>
      <c r="P22" s="2">
        <f t="shared" si="1"/>
        <v>92.581081081081052</v>
      </c>
      <c r="R22">
        <v>3</v>
      </c>
      <c r="S22">
        <v>3</v>
      </c>
    </row>
    <row r="23" spans="1:19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J23">
        <v>90</v>
      </c>
      <c r="K23">
        <v>94</v>
      </c>
      <c r="L23">
        <v>98</v>
      </c>
      <c r="O23">
        <f t="shared" si="0"/>
        <v>69.28</v>
      </c>
      <c r="P23" s="2">
        <f t="shared" si="1"/>
        <v>93.621621621621614</v>
      </c>
      <c r="R23">
        <v>3</v>
      </c>
      <c r="S23">
        <v>3</v>
      </c>
    </row>
    <row r="24" spans="1:19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J24">
        <v>95</v>
      </c>
      <c r="K24">
        <v>96</v>
      </c>
      <c r="L24">
        <v>92</v>
      </c>
      <c r="O24">
        <f>(F24+F$33)*F$2+G$2*(G24+G$33)+H$2*(H24+H$33)+I$2*(I24+I$33+R24+S24)+J$2*(J24+J$33)+K$2*(K24+K$33)+L$2*(L24+L$33)+M$2*(M24+M$33)</f>
        <v>66.039999999999992</v>
      </c>
      <c r="P24" s="2">
        <f t="shared" si="1"/>
        <v>89.243243243243214</v>
      </c>
      <c r="R24">
        <v>3</v>
      </c>
      <c r="S24">
        <v>3</v>
      </c>
    </row>
    <row r="25" spans="1:19" x14ac:dyDescent="0.2">
      <c r="P25" s="2"/>
    </row>
    <row r="26" spans="1:19" x14ac:dyDescent="0.2">
      <c r="I26">
        <v>0.2</v>
      </c>
      <c r="M26">
        <v>0.1</v>
      </c>
      <c r="P26" s="2"/>
    </row>
    <row r="27" spans="1:19" x14ac:dyDescent="0.2">
      <c r="B27" s="1" t="s">
        <v>70</v>
      </c>
      <c r="F27">
        <v>0.2</v>
      </c>
      <c r="G27">
        <v>0.2</v>
      </c>
      <c r="H27">
        <v>0.2</v>
      </c>
      <c r="K27">
        <v>0.05</v>
      </c>
      <c r="L27">
        <v>0.05</v>
      </c>
      <c r="N27">
        <f>SUM(F27:M27)</f>
        <v>0.70000000000000018</v>
      </c>
      <c r="P27" s="2"/>
    </row>
    <row r="28" spans="1:19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K28">
        <v>75</v>
      </c>
      <c r="L28">
        <v>85</v>
      </c>
      <c r="O28">
        <f>(F28+F$33)*F$27+G$27*(G28+G$33)+H$27*(H28+H$33)+I$27*(I28+I$33+R28+S28)+J$27*(J28+J$33)+K$27*(K28+K$33)+L$27*(L28+L$33)+M$27*(M28+M$33)</f>
        <v>60.2</v>
      </c>
      <c r="P28" s="2">
        <f>O28/$N$27</f>
        <v>85.999999999999986</v>
      </c>
      <c r="R28">
        <v>3</v>
      </c>
      <c r="S28">
        <v>3</v>
      </c>
    </row>
    <row r="29" spans="1:19" hidden="1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15.71428571428571</v>
      </c>
    </row>
    <row r="30" spans="1:19" x14ac:dyDescent="0.2">
      <c r="B30" s="1"/>
      <c r="C30" s="1"/>
      <c r="D30" s="1"/>
    </row>
    <row r="31" spans="1:19" x14ac:dyDescent="0.2">
      <c r="E31" s="1" t="s">
        <v>98</v>
      </c>
      <c r="F31">
        <f>AVERAGE(F5:F24,F28:F29)</f>
        <v>82.952380952380949</v>
      </c>
      <c r="G31">
        <f t="shared" ref="G31" si="2">AVERAGE(G5:G24,G28:G29)</f>
        <v>85.523809523809518</v>
      </c>
      <c r="H31">
        <f>AVERAGE(H5:H24,H28:H29)</f>
        <v>84</v>
      </c>
      <c r="I31">
        <v>85</v>
      </c>
      <c r="J31">
        <f>AVERAGE(J5:J24,J28:J29)</f>
        <v>95.388888888888886</v>
      </c>
      <c r="K31">
        <f t="shared" ref="K31:N31" si="3">AVERAGE(K5:K24,K28:K29)</f>
        <v>94.1</v>
      </c>
      <c r="L31">
        <f t="shared" si="3"/>
        <v>95.421052631578945</v>
      </c>
      <c r="M31" t="e">
        <f t="shared" si="3"/>
        <v>#DIV/0!</v>
      </c>
      <c r="N31" t="e">
        <f t="shared" si="3"/>
        <v>#DIV/0!</v>
      </c>
      <c r="R31">
        <f>COUNT(R5:R24,R28)</f>
        <v>15</v>
      </c>
      <c r="S31">
        <f>COUNT(S5:S24,S28)</f>
        <v>19</v>
      </c>
    </row>
    <row r="32" spans="1:19" x14ac:dyDescent="0.2">
      <c r="E32" s="1" t="s">
        <v>100</v>
      </c>
      <c r="F32">
        <f>STDEV(F5:F24,F28:F29)</f>
        <v>18.829434910469786</v>
      </c>
      <c r="G32">
        <f t="shared" ref="G32:I32" si="4">STDEV(G5:G24,G28:G29)</f>
        <v>18.06825682687473</v>
      </c>
      <c r="H32">
        <f t="shared" si="4"/>
        <v>13.45362404707371</v>
      </c>
      <c r="I32" t="e">
        <f t="shared" si="4"/>
        <v>#DIV/0!</v>
      </c>
      <c r="J32">
        <f t="shared" ref="J32:N32" si="5">STDEV(J5:J24,J28:J29)</f>
        <v>2.992911014358643</v>
      </c>
      <c r="K32">
        <f t="shared" si="5"/>
        <v>6.239939270959546</v>
      </c>
      <c r="L32">
        <f t="shared" si="5"/>
        <v>4.670424552123289</v>
      </c>
      <c r="M32" t="e">
        <f t="shared" si="5"/>
        <v>#DIV/0!</v>
      </c>
      <c r="N32" t="e">
        <f t="shared" si="5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>
        <v>5</v>
      </c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>G31+G33</f>
        <v>90.523809523809518</v>
      </c>
      <c r="H34">
        <f>H31+H33</f>
        <v>90</v>
      </c>
      <c r="I34">
        <f>I31+SUM(I33:I33)</f>
        <v>90</v>
      </c>
      <c r="J34">
        <f>J31+J33</f>
        <v>95.388888888888886</v>
      </c>
      <c r="K34">
        <f>K31+K33</f>
        <v>94.1</v>
      </c>
      <c r="L34">
        <f>L31+L33</f>
        <v>95.421052631578945</v>
      </c>
      <c r="M34" t="e">
        <f>M31+M33</f>
        <v>#DIV/0!</v>
      </c>
      <c r="N34" t="e">
        <f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6">SUM(B38:B52)</f>
        <v>100</v>
      </c>
      <c r="C53">
        <f t="shared" si="6"/>
        <v>93</v>
      </c>
      <c r="D53">
        <f t="shared" si="6"/>
        <v>81</v>
      </c>
      <c r="E53">
        <f t="shared" si="6"/>
        <v>97</v>
      </c>
      <c r="F53">
        <f t="shared" si="6"/>
        <v>98</v>
      </c>
      <c r="G53">
        <f t="shared" si="6"/>
        <v>76</v>
      </c>
      <c r="H53">
        <f t="shared" si="6"/>
        <v>94</v>
      </c>
      <c r="I53">
        <f t="shared" si="6"/>
        <v>94</v>
      </c>
      <c r="J53">
        <f t="shared" si="6"/>
        <v>85</v>
      </c>
      <c r="K53">
        <f t="shared" si="6"/>
        <v>92</v>
      </c>
      <c r="L53">
        <f t="shared" si="6"/>
        <v>93</v>
      </c>
      <c r="M53">
        <f t="shared" si="6"/>
        <v>100</v>
      </c>
      <c r="N53">
        <f t="shared" si="6"/>
        <v>51</v>
      </c>
      <c r="O53">
        <f t="shared" si="6"/>
        <v>78</v>
      </c>
      <c r="P53">
        <f t="shared" si="6"/>
        <v>100</v>
      </c>
      <c r="Q53">
        <f t="shared" si="6"/>
        <v>94</v>
      </c>
      <c r="R53">
        <f t="shared" si="6"/>
        <v>70</v>
      </c>
      <c r="S53">
        <f t="shared" si="6"/>
        <v>90</v>
      </c>
      <c r="T53">
        <f t="shared" si="6"/>
        <v>86</v>
      </c>
      <c r="U53">
        <f t="shared" si="6"/>
        <v>78</v>
      </c>
      <c r="V53">
        <f t="shared" si="6"/>
        <v>72</v>
      </c>
      <c r="W53">
        <f t="shared" si="6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7">SUM(B56:B69)</f>
        <v>100</v>
      </c>
      <c r="C70">
        <f t="shared" si="7"/>
        <v>93</v>
      </c>
      <c r="D70">
        <f t="shared" si="7"/>
        <v>87</v>
      </c>
      <c r="E70">
        <f t="shared" si="7"/>
        <v>98</v>
      </c>
      <c r="F70">
        <f t="shared" si="7"/>
        <v>99</v>
      </c>
      <c r="G70">
        <f t="shared" si="7"/>
        <v>86</v>
      </c>
      <c r="H70">
        <f t="shared" si="7"/>
        <v>90</v>
      </c>
      <c r="I70">
        <f t="shared" si="7"/>
        <v>100</v>
      </c>
      <c r="J70">
        <f t="shared" si="7"/>
        <v>85</v>
      </c>
      <c r="K70">
        <f t="shared" si="7"/>
        <v>95</v>
      </c>
      <c r="L70">
        <f t="shared" si="7"/>
        <v>94</v>
      </c>
      <c r="M70">
        <f t="shared" si="7"/>
        <v>90</v>
      </c>
      <c r="N70">
        <f t="shared" si="7"/>
        <v>72</v>
      </c>
      <c r="O70">
        <f t="shared" si="7"/>
        <v>88</v>
      </c>
      <c r="P70">
        <f t="shared" si="7"/>
        <v>96</v>
      </c>
      <c r="Q70">
        <f t="shared" si="7"/>
        <v>100</v>
      </c>
      <c r="R70">
        <f t="shared" si="7"/>
        <v>65</v>
      </c>
      <c r="S70">
        <f t="shared" si="7"/>
        <v>81</v>
      </c>
      <c r="T70">
        <f t="shared" si="7"/>
        <v>93</v>
      </c>
      <c r="U70">
        <f t="shared" si="7"/>
        <v>81</v>
      </c>
      <c r="V70">
        <f t="shared" si="7"/>
        <v>86</v>
      </c>
      <c r="W70">
        <f t="shared" si="7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8">SUM(B73:B86)</f>
        <v>100</v>
      </c>
      <c r="C87">
        <f t="shared" si="8"/>
        <v>87</v>
      </c>
      <c r="D87">
        <f t="shared" si="8"/>
        <v>72</v>
      </c>
      <c r="E87">
        <f t="shared" si="8"/>
        <v>89</v>
      </c>
      <c r="F87">
        <f t="shared" si="8"/>
        <v>100</v>
      </c>
      <c r="G87">
        <f t="shared" si="8"/>
        <v>53</v>
      </c>
      <c r="H87">
        <f t="shared" si="8"/>
        <v>84</v>
      </c>
      <c r="I87">
        <f t="shared" si="8"/>
        <v>98</v>
      </c>
      <c r="J87">
        <f t="shared" si="8"/>
        <v>72</v>
      </c>
      <c r="K87">
        <f t="shared" si="8"/>
        <v>89</v>
      </c>
      <c r="L87">
        <f t="shared" si="8"/>
        <v>96</v>
      </c>
      <c r="M87">
        <f t="shared" si="8"/>
        <v>86</v>
      </c>
      <c r="N87">
        <f t="shared" si="8"/>
        <v>55</v>
      </c>
      <c r="O87">
        <f t="shared" si="8"/>
        <v>76</v>
      </c>
      <c r="P87">
        <f t="shared" si="8"/>
        <v>100</v>
      </c>
      <c r="Q87">
        <f t="shared" si="8"/>
        <v>96</v>
      </c>
      <c r="R87">
        <f t="shared" si="8"/>
        <v>0</v>
      </c>
      <c r="S87">
        <f t="shared" si="8"/>
        <v>90</v>
      </c>
      <c r="T87">
        <f t="shared" si="8"/>
        <v>86</v>
      </c>
      <c r="U87">
        <f t="shared" si="8"/>
        <v>82</v>
      </c>
      <c r="V87">
        <f t="shared" si="8"/>
        <v>85</v>
      </c>
      <c r="W87">
        <f t="shared" si="8"/>
        <v>0</v>
      </c>
    </row>
    <row r="89" spans="1:23" x14ac:dyDescent="0.2">
      <c r="B89" s="1" t="s">
        <v>64</v>
      </c>
      <c r="C89" s="1" t="s">
        <v>77</v>
      </c>
      <c r="D89" s="1" t="s">
        <v>78</v>
      </c>
      <c r="E89" s="1" t="s">
        <v>79</v>
      </c>
      <c r="F89" s="1" t="s">
        <v>80</v>
      </c>
      <c r="G89" s="1" t="s">
        <v>81</v>
      </c>
      <c r="H89" s="1" t="s">
        <v>82</v>
      </c>
      <c r="I89" s="1" t="s">
        <v>83</v>
      </c>
      <c r="J89" s="1" t="s">
        <v>84</v>
      </c>
      <c r="K89" s="1" t="s">
        <v>85</v>
      </c>
      <c r="L89" s="1" t="s">
        <v>86</v>
      </c>
      <c r="M89" s="1" t="s">
        <v>87</v>
      </c>
      <c r="N89" s="1" t="s">
        <v>88</v>
      </c>
      <c r="O89" s="1" t="s">
        <v>89</v>
      </c>
      <c r="P89" s="1" t="s">
        <v>90</v>
      </c>
      <c r="Q89" s="1" t="s">
        <v>91</v>
      </c>
      <c r="R89" s="1" t="s">
        <v>92</v>
      </c>
      <c r="S89" s="1" t="s">
        <v>93</v>
      </c>
      <c r="T89" s="1" t="s">
        <v>94</v>
      </c>
      <c r="U89" s="1" t="s">
        <v>95</v>
      </c>
      <c r="V89" s="1" t="s">
        <v>96</v>
      </c>
      <c r="W89" s="1" t="s">
        <v>97</v>
      </c>
    </row>
    <row r="90" spans="1:23" x14ac:dyDescent="0.2">
      <c r="A90">
        <v>1</v>
      </c>
      <c r="B90">
        <v>18</v>
      </c>
    </row>
    <row r="91" spans="1:23" x14ac:dyDescent="0.2">
      <c r="A91">
        <v>2</v>
      </c>
      <c r="B91">
        <v>2</v>
      </c>
    </row>
    <row r="92" spans="1:23" x14ac:dyDescent="0.2">
      <c r="A92">
        <v>3</v>
      </c>
      <c r="B92">
        <v>8</v>
      </c>
    </row>
    <row r="93" spans="1:23" x14ac:dyDescent="0.2">
      <c r="A93">
        <v>4</v>
      </c>
      <c r="B93">
        <v>12</v>
      </c>
    </row>
    <row r="94" spans="1:23" x14ac:dyDescent="0.2">
      <c r="A94">
        <v>5</v>
      </c>
      <c r="B94">
        <v>12</v>
      </c>
    </row>
    <row r="95" spans="1:23" x14ac:dyDescent="0.2">
      <c r="A95">
        <v>6</v>
      </c>
      <c r="B95">
        <v>4</v>
      </c>
    </row>
    <row r="96" spans="1:23" x14ac:dyDescent="0.2">
      <c r="A96">
        <v>7</v>
      </c>
      <c r="B96">
        <v>6</v>
      </c>
    </row>
    <row r="97" spans="1:23" x14ac:dyDescent="0.2">
      <c r="A97">
        <v>8</v>
      </c>
      <c r="B97">
        <v>6</v>
      </c>
    </row>
    <row r="98" spans="1:23" x14ac:dyDescent="0.2">
      <c r="A98">
        <v>9</v>
      </c>
      <c r="B98">
        <v>6</v>
      </c>
    </row>
    <row r="99" spans="1:23" x14ac:dyDescent="0.2">
      <c r="A99">
        <v>10</v>
      </c>
      <c r="B99">
        <v>6</v>
      </c>
    </row>
    <row r="100" spans="1:23" x14ac:dyDescent="0.2">
      <c r="A100">
        <v>11</v>
      </c>
      <c r="B100">
        <v>6</v>
      </c>
    </row>
    <row r="101" spans="1:23" x14ac:dyDescent="0.2">
      <c r="A101">
        <v>12</v>
      </c>
      <c r="B101">
        <v>6</v>
      </c>
    </row>
    <row r="102" spans="1:23" x14ac:dyDescent="0.2">
      <c r="A102">
        <v>13</v>
      </c>
      <c r="B102">
        <v>8</v>
      </c>
    </row>
    <row r="103" spans="1:23" x14ac:dyDescent="0.2">
      <c r="A103">
        <v>14</v>
      </c>
    </row>
    <row r="104" spans="1:23" x14ac:dyDescent="0.2">
      <c r="A104" s="1" t="s">
        <v>76</v>
      </c>
      <c r="B104">
        <f t="shared" ref="B104:W104" si="9">SUM(B90:B103)</f>
        <v>100</v>
      </c>
      <c r="C104">
        <f t="shared" si="9"/>
        <v>0</v>
      </c>
      <c r="D104">
        <f t="shared" si="9"/>
        <v>0</v>
      </c>
      <c r="E104">
        <f t="shared" si="9"/>
        <v>0</v>
      </c>
      <c r="F104">
        <f t="shared" si="9"/>
        <v>0</v>
      </c>
      <c r="G104">
        <f t="shared" si="9"/>
        <v>0</v>
      </c>
      <c r="H104">
        <f t="shared" si="9"/>
        <v>0</v>
      </c>
      <c r="I104">
        <f t="shared" si="9"/>
        <v>0</v>
      </c>
      <c r="J104">
        <f t="shared" si="9"/>
        <v>0</v>
      </c>
      <c r="K104">
        <f t="shared" si="9"/>
        <v>0</v>
      </c>
      <c r="L104">
        <f t="shared" si="9"/>
        <v>0</v>
      </c>
      <c r="M104">
        <f t="shared" si="9"/>
        <v>0</v>
      </c>
      <c r="N104">
        <f t="shared" si="9"/>
        <v>0</v>
      </c>
      <c r="O104">
        <f t="shared" si="9"/>
        <v>0</v>
      </c>
      <c r="P104">
        <f t="shared" si="9"/>
        <v>0</v>
      </c>
      <c r="Q104">
        <f t="shared" si="9"/>
        <v>0</v>
      </c>
      <c r="R104">
        <f t="shared" si="9"/>
        <v>0</v>
      </c>
      <c r="S104">
        <f t="shared" si="9"/>
        <v>0</v>
      </c>
      <c r="T104">
        <f t="shared" si="9"/>
        <v>0</v>
      </c>
      <c r="U104">
        <f t="shared" si="9"/>
        <v>0</v>
      </c>
      <c r="V104">
        <f t="shared" si="9"/>
        <v>0</v>
      </c>
      <c r="W104">
        <f t="shared" si="9"/>
        <v>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2026-05-06T16:39:56Z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