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42B96863-9CD5-8B4F-AA2F-A3A94A97F938}" xr6:coauthVersionLast="47" xr6:coauthVersionMax="47" xr10:uidLastSave="{00000000-0000-0000-0000-000000000000}"/>
  <bookViews>
    <workbookView xWindow="13760" yWindow="1380" windowWidth="2720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8" i="1" l="1"/>
  <c r="O7" i="1"/>
  <c r="I31" i="1"/>
  <c r="N103" i="1"/>
  <c r="R31" i="1"/>
  <c r="S31" i="1"/>
  <c r="O16" i="1"/>
  <c r="O28" i="1" l="1"/>
  <c r="O24" i="1"/>
  <c r="V103" i="1"/>
  <c r="U103" i="1"/>
  <c r="T103" i="1"/>
  <c r="S103" i="1"/>
  <c r="Q103" i="1"/>
  <c r="P103" i="1"/>
  <c r="O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N27" i="1"/>
  <c r="O5" i="1"/>
  <c r="J34" i="1"/>
  <c r="J31" i="1"/>
  <c r="O22" i="1"/>
  <c r="O6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P7" i="1" s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9" i="1" l="1"/>
  <c r="P20" i="1"/>
  <c r="P22" i="1"/>
  <c r="P23" i="1"/>
  <c r="P24" i="1"/>
  <c r="P8" i="1"/>
  <c r="P10" i="1"/>
  <c r="P12" i="1"/>
  <c r="P14" i="1"/>
  <c r="P5" i="1"/>
  <c r="P21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<sst xmlns="http://schemas.openxmlformats.org/spreadsheetml/2006/main" count="174" uniqueCount="104">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</sst>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3"/>
  <sheetViews>
    <sheetView tabSelected="1" topLeftCell="D1" workbookViewId="0">
      <selection activeCell="I27" sqref="I27"/>
    </sheetView>
  </sheetViews>
  <sheetFormatPr baseColWidth="10" defaultRowHeight="16" x14ac:dyDescent="0.2"/>
  <cols>
    <col min="10" max="10" width="12.5" customWidth="1"/>
  </cols>
  <sheetData>
    <row r="1" spans="1:19" x14ac:dyDescent="0.2">
      <c r="M1">
        <v>0.1</v>
      </c>
    </row>
    <row r="2" spans="1:19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N2">
        <f>SUM(F2:M2)</f>
        <v>0.90000000000000013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I5">
        <v>94</v>
      </c>
      <c r="J5">
        <v>98</v>
      </c>
      <c r="K5">
        <v>99</v>
      </c>
      <c r="L5">
        <v>98</v>
      </c>
      <c r="O5">
        <f>(F5+F$33)*F$2+G$2*(G5+G$33)+H$2*(H5+H$33)+I$2*(I5+I$33+R5+S5)+J$2*(J5+J$33)+K$2*(K5+K$33)+L$2*(L5+L$33)+M$2*(M5+M$33)</f>
        <v>88.090000000000018</v>
      </c>
      <c r="P5" s="2">
        <f>O5/$N$2</f>
        <v>97.87777777777778</v>
      </c>
      <c r="R5">
        <v>3</v>
      </c>
      <c r="S5">
        <v>3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I6">
        <v>82</v>
      </c>
      <c r="J6">
        <v>100</v>
      </c>
      <c r="K6">
        <v>88</v>
      </c>
      <c r="L6">
        <v>96</v>
      </c>
      <c r="O6">
        <f t="shared" ref="O6:O23" si="0">(F6+F$33)*F$2+G$2*(G6+G$33)+H$2*(H6+H$33)+I$2*(I6+I$33+R6+S6)+J$2*(J6+J$33)+K$2*(K6+K$33)+L$2*(L6+L$33)+M$2*(M6+M$33)</f>
        <v>80.56</v>
      </c>
      <c r="P6" s="2">
        <f t="shared" ref="P6:P24" si="1">O6/$N$2</f>
        <v>89.511111111111106</v>
      </c>
      <c r="R6">
        <v>3</v>
      </c>
      <c r="S6">
        <v>3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I7">
        <v>95</v>
      </c>
      <c r="J7">
        <v>92</v>
      </c>
      <c r="K7">
        <v>98</v>
      </c>
      <c r="L7">
        <v>100</v>
      </c>
      <c r="O7">
        <f>(F7+F$33)*F$2+G$2*(G7+G$33)+H$2*(H7+H$33)+I$2*(I7+I$33+R7+S7)+J$2*(J7+J$33)+K$2*(K7+K$33)+L$2*(L7+L$33)+M$2*(M7+M$33)</f>
        <v>89.100000000000009</v>
      </c>
      <c r="P7" s="2">
        <f>O7/$N$2</f>
        <v>99</v>
      </c>
      <c r="R7">
        <v>3</v>
      </c>
      <c r="S7">
        <v>3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I8">
        <v>99</v>
      </c>
      <c r="J8">
        <v>97</v>
      </c>
      <c r="K8">
        <v>99</v>
      </c>
      <c r="L8">
        <v>100</v>
      </c>
      <c r="O8">
        <f t="shared" si="0"/>
        <v>92.67</v>
      </c>
      <c r="P8" s="2">
        <f t="shared" si="1"/>
        <v>102.96666666666665</v>
      </c>
      <c r="R8">
        <v>3</v>
      </c>
      <c r="S8">
        <v>3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I9">
        <v>92</v>
      </c>
      <c r="J9">
        <v>96</v>
      </c>
      <c r="K9">
        <v>94</v>
      </c>
      <c r="L9">
        <v>95</v>
      </c>
      <c r="O9">
        <f t="shared" si="0"/>
        <v>77.77</v>
      </c>
      <c r="P9" s="2">
        <f>O9/$N$2</f>
        <v>86.411111111111097</v>
      </c>
      <c r="R9">
        <v>3</v>
      </c>
      <c r="S9">
        <v>3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I10">
        <v>97</v>
      </c>
      <c r="J10">
        <v>94</v>
      </c>
      <c r="K10">
        <v>98</v>
      </c>
      <c r="L10">
        <v>99</v>
      </c>
      <c r="O10">
        <f t="shared" si="0"/>
        <v>87.13000000000001</v>
      </c>
      <c r="P10" s="2">
        <f t="shared" si="1"/>
        <v>96.811111111111103</v>
      </c>
      <c r="R10">
        <v>3</v>
      </c>
      <c r="S10">
        <v>3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I11">
        <v>100</v>
      </c>
      <c r="J11">
        <v>99</v>
      </c>
      <c r="K11">
        <v>91</v>
      </c>
      <c r="L11">
        <v>92</v>
      </c>
      <c r="O11">
        <f t="shared" si="0"/>
        <v>91.55</v>
      </c>
      <c r="P11" s="2">
        <f t="shared" si="1"/>
        <v>101.7222222222222</v>
      </c>
      <c r="R11">
        <v>3</v>
      </c>
      <c r="S11">
        <v>3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I12">
        <v>97</v>
      </c>
      <c r="J12">
        <v>94</v>
      </c>
      <c r="K12">
        <v>92</v>
      </c>
      <c r="L12">
        <v>91</v>
      </c>
      <c r="O12">
        <f t="shared" si="0"/>
        <v>82.27</v>
      </c>
      <c r="P12" s="2">
        <f t="shared" si="1"/>
        <v>91.411111111111097</v>
      </c>
      <c r="R12">
        <v>3</v>
      </c>
      <c r="S12">
        <v>3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I13">
        <v>95</v>
      </c>
      <c r="J13">
        <v>99</v>
      </c>
      <c r="K13">
        <v>97</v>
      </c>
      <c r="L13">
        <v>100</v>
      </c>
      <c r="O13">
        <f t="shared" si="0"/>
        <v>88.89</v>
      </c>
      <c r="P13" s="2">
        <f t="shared" si="1"/>
        <v>98.766666666666652</v>
      </c>
      <c r="R13">
        <v>3</v>
      </c>
      <c r="S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I14">
        <v>96</v>
      </c>
      <c r="J14">
        <v>95</v>
      </c>
      <c r="K14">
        <v>98</v>
      </c>
      <c r="L14">
        <v>100</v>
      </c>
      <c r="O14">
        <f t="shared" si="0"/>
        <v>89.58</v>
      </c>
      <c r="P14" s="2">
        <f t="shared" si="1"/>
        <v>99.533333333333317</v>
      </c>
      <c r="R14">
        <v>3</v>
      </c>
      <c r="S14">
        <v>3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I15">
        <v>93</v>
      </c>
      <c r="J15">
        <v>98</v>
      </c>
      <c r="K15">
        <v>99</v>
      </c>
      <c r="L15">
        <v>100</v>
      </c>
      <c r="O15">
        <f t="shared" si="0"/>
        <v>88.03</v>
      </c>
      <c r="P15" s="2">
        <f t="shared" si="1"/>
        <v>97.811111111111103</v>
      </c>
      <c r="S15">
        <v>3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I16">
        <v>85</v>
      </c>
      <c r="J16">
        <v>91</v>
      </c>
      <c r="K16">
        <v>85</v>
      </c>
      <c r="L16">
        <v>87</v>
      </c>
      <c r="O16">
        <f>(F16+F$33)*F$2+G$2*(G16+G$33)+H$2*(H16+H$33)+I$2*(I16+I$33+R16+S16)+J$2*(J16+J$33)+K$2*(K16+K$33)+L$2*(L16+L$33)+M$2*(M16+M$33)</f>
        <v>69.08</v>
      </c>
      <c r="P16" s="2">
        <f t="shared" si="1"/>
        <v>76.755555555555546</v>
      </c>
      <c r="R16">
        <v>3</v>
      </c>
      <c r="S16">
        <v>3</v>
      </c>
    </row>
    <row r="17" spans="1:1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I17">
        <v>86</v>
      </c>
      <c r="J17">
        <v>93</v>
      </c>
      <c r="K17">
        <v>98</v>
      </c>
      <c r="L17">
        <v>93</v>
      </c>
      <c r="O17">
        <f t="shared" si="0"/>
        <v>80.750000000000014</v>
      </c>
      <c r="P17" s="2">
        <f t="shared" si="1"/>
        <v>89.722222222222229</v>
      </c>
      <c r="R17">
        <v>3</v>
      </c>
      <c r="S17">
        <v>3</v>
      </c>
    </row>
    <row r="18" spans="1:19" x14ac:dyDescent="0.2">
      <c r="P18" s="2"/>
    </row>
    <row r="19" spans="1:1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I19">
        <v>98</v>
      </c>
      <c r="J19">
        <v>98</v>
      </c>
      <c r="K19">
        <v>100</v>
      </c>
      <c r="L19">
        <v>100</v>
      </c>
      <c r="O19">
        <f t="shared" si="0"/>
        <v>92.56</v>
      </c>
      <c r="P19" s="2">
        <f t="shared" si="1"/>
        <v>102.84444444444443</v>
      </c>
      <c r="R19">
        <v>3</v>
      </c>
      <c r="S19">
        <v>3</v>
      </c>
    </row>
    <row r="20" spans="1:1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I20">
        <v>99</v>
      </c>
      <c r="J20">
        <v>96</v>
      </c>
      <c r="K20">
        <v>100</v>
      </c>
      <c r="L20">
        <v>95</v>
      </c>
      <c r="O20">
        <f t="shared" si="0"/>
        <v>91.19</v>
      </c>
      <c r="P20" s="2">
        <f t="shared" si="1"/>
        <v>101.32222222222221</v>
      </c>
      <c r="R20">
        <v>3</v>
      </c>
      <c r="S20">
        <v>3</v>
      </c>
    </row>
    <row r="21" spans="1:19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32.200000000000003</v>
      </c>
    </row>
    <row r="22" spans="1:19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I22">
        <v>100</v>
      </c>
      <c r="J22">
        <v>92</v>
      </c>
      <c r="K22">
        <v>91</v>
      </c>
      <c r="L22">
        <v>92</v>
      </c>
      <c r="O22">
        <f t="shared" si="0"/>
        <v>85.47</v>
      </c>
      <c r="P22" s="2">
        <f t="shared" si="1"/>
        <v>94.966666666666654</v>
      </c>
      <c r="R22">
        <v>3</v>
      </c>
      <c r="S22">
        <v>3</v>
      </c>
    </row>
    <row r="23" spans="1:1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I23">
        <v>93</v>
      </c>
      <c r="J23">
        <v>90</v>
      </c>
      <c r="K23">
        <v>94</v>
      </c>
      <c r="L23">
        <v>98</v>
      </c>
      <c r="O23">
        <f t="shared" si="0"/>
        <v>85.120000000000019</v>
      </c>
      <c r="P23" s="2">
        <f t="shared" si="1"/>
        <v>94.577777777777783</v>
      </c>
      <c r="R23">
        <v>3</v>
      </c>
      <c r="S23">
        <v>3</v>
      </c>
    </row>
    <row r="24" spans="1:1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I24">
        <v>83</v>
      </c>
      <c r="J24">
        <v>95</v>
      </c>
      <c r="K24">
        <v>96</v>
      </c>
      <c r="L24">
        <v>92</v>
      </c>
      <c r="O24">
        <f>(F24+F$33)*F$2+G$2*(G24+G$33)+H$2*(H24+H$33)+I$2*(I24+I$33+R24+S24)+J$2*(J24+J$33)+K$2*(K24+K$33)+L$2*(L24+L$33)+M$2*(M24+M$33)</f>
        <v>80.279999999999987</v>
      </c>
      <c r="P24" s="2">
        <f t="shared" si="1"/>
        <v>89.199999999999974</v>
      </c>
      <c r="R24">
        <v>3</v>
      </c>
      <c r="S24">
        <v>3</v>
      </c>
    </row>
    <row r="25" spans="1:19" x14ac:dyDescent="0.2">
      <c r="P25" s="2"/>
    </row>
    <row r="26" spans="1:19" x14ac:dyDescent="0.2">
      <c r="M26">
        <v>0.1</v>
      </c>
      <c r="P26" s="2"/>
    </row>
    <row r="27" spans="1:19" x14ac:dyDescent="0.2">
      <c r="B27" s="1" t="s">
        <v>70</v>
      </c>
      <c r="F27">
        <v>0.2</v>
      </c>
      <c r="G27">
        <v>0.2</v>
      </c>
      <c r="H27">
        <v>0.2</v>
      </c>
      <c r="I27">
        <v>0.2</v>
      </c>
      <c r="K27">
        <v>0.05</v>
      </c>
      <c r="L27">
        <v>0.05</v>
      </c>
      <c r="N27">
        <f>SUM(F27:M27)</f>
        <v>0.90000000000000013</v>
      </c>
      <c r="P27" s="2"/>
    </row>
    <row r="28" spans="1:19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I28">
        <v>92</v>
      </c>
      <c r="K28">
        <v>75</v>
      </c>
      <c r="L28">
        <v>85</v>
      </c>
      <c r="O28">
        <f>(F28+F$33)*F$27+G$27*(G28+G$33)+H$27*(H28+H$33)+I$27*(I28+I$33+R28+S28)+J$27*(J28+J$33)+K$27*(K28+K$33)+L$27*(L28+L$33)+M$27*(M28+M$33)</f>
        <v>79.800000000000011</v>
      </c>
      <c r="P28" s="2">
        <f>O28/$N$27</f>
        <v>88.666666666666671</v>
      </c>
      <c r="R28">
        <v>3</v>
      </c>
      <c r="S28">
        <v>3</v>
      </c>
    </row>
    <row r="29" spans="1:19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12.22222222222222</v>
      </c>
    </row>
    <row r="30" spans="1:19" x14ac:dyDescent="0.2">
      <c r="B30" s="1"/>
      <c r="C30" s="1"/>
      <c r="D30" s="1"/>
    </row>
    <row r="31" spans="1:19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f>AVERAGE(I5:I24,I28:I29)</f>
        <v>93.473684210526315</v>
      </c>
      <c r="J31">
        <f>AVERAGE(J5:J24,J28:J29)</f>
        <v>95.388888888888886</v>
      </c>
      <c r="K31">
        <f t="shared" ref="K31:N31" si="3">AVERAGE(K5:K24,K28:K29)</f>
        <v>94.1</v>
      </c>
      <c r="L31">
        <f t="shared" si="3"/>
        <v>95.421052631578945</v>
      </c>
      <c r="M31" t="e">
        <f t="shared" si="3"/>
        <v>#DIV/0!</v>
      </c>
      <c r="N31" t="e">
        <f t="shared" si="3"/>
        <v>#DIV/0!</v>
      </c>
      <c r="R31">
        <f>COUNT(R5:R24,R28)</f>
        <v>18</v>
      </c>
      <c r="S31">
        <f>COUNT(S5:S24,S28)</f>
        <v>19</v>
      </c>
    </row>
    <row r="32" spans="1:19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>
        <f t="shared" si="4"/>
        <v>5.6604713295373754</v>
      </c>
      <c r="J32">
        <f t="shared" ref="J32:N32" si="5">STDEV(J5:J24,J28:J29)</f>
        <v>2.992911014358643</v>
      </c>
      <c r="K32">
        <f t="shared" si="5"/>
        <v>6.239939270959546</v>
      </c>
      <c r="L32">
        <f t="shared" si="5"/>
        <v>4.670424552123289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93.473684210526315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/>
      <c r="S89" s="1" t="s">
        <v>93</v>
      </c>
      <c r="T89" s="1" t="s">
        <v>94</v>
      </c>
      <c r="U89" s="1" t="s">
        <v>95</v>
      </c>
      <c r="V89" s="1" t="s">
        <v>96</v>
      </c>
      <c r="W89" s="1"/>
    </row>
    <row r="90" spans="1:23" x14ac:dyDescent="0.2">
      <c r="A90">
        <v>1</v>
      </c>
      <c r="B90">
        <v>18</v>
      </c>
      <c r="C90">
        <v>18</v>
      </c>
      <c r="D90">
        <v>17</v>
      </c>
      <c r="E90">
        <v>18</v>
      </c>
      <c r="F90">
        <v>18</v>
      </c>
      <c r="G90">
        <v>14</v>
      </c>
      <c r="H90">
        <v>17</v>
      </c>
      <c r="I90">
        <v>18</v>
      </c>
      <c r="J90">
        <v>18</v>
      </c>
      <c r="K90">
        <v>16</v>
      </c>
      <c r="L90">
        <v>18</v>
      </c>
      <c r="M90">
        <v>18</v>
      </c>
      <c r="N90">
        <v>16</v>
      </c>
      <c r="O90">
        <v>18</v>
      </c>
      <c r="P90">
        <v>18</v>
      </c>
      <c r="Q90">
        <v>18</v>
      </c>
      <c r="S90">
        <v>18</v>
      </c>
      <c r="T90">
        <v>17</v>
      </c>
      <c r="U90">
        <v>16</v>
      </c>
      <c r="V90">
        <v>18</v>
      </c>
    </row>
    <row r="91" spans="1:23" x14ac:dyDescent="0.2">
      <c r="A91">
        <v>2</v>
      </c>
      <c r="B91">
        <v>2</v>
      </c>
      <c r="C91">
        <v>2</v>
      </c>
      <c r="D91">
        <v>1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1</v>
      </c>
      <c r="O91">
        <v>2</v>
      </c>
      <c r="P91">
        <v>2</v>
      </c>
      <c r="Q91">
        <v>2</v>
      </c>
      <c r="S91">
        <v>2</v>
      </c>
      <c r="T91">
        <v>2</v>
      </c>
      <c r="U91">
        <v>2</v>
      </c>
      <c r="V91">
        <v>2</v>
      </c>
    </row>
    <row r="92" spans="1:23" x14ac:dyDescent="0.2">
      <c r="A92">
        <v>3</v>
      </c>
      <c r="B92">
        <v>8</v>
      </c>
      <c r="C92">
        <v>8</v>
      </c>
      <c r="D92">
        <v>3</v>
      </c>
      <c r="E92">
        <v>8</v>
      </c>
      <c r="F92">
        <v>8</v>
      </c>
      <c r="G92">
        <v>8</v>
      </c>
      <c r="H92">
        <v>8</v>
      </c>
      <c r="I92">
        <v>8</v>
      </c>
      <c r="J92">
        <v>8</v>
      </c>
      <c r="K92">
        <v>8</v>
      </c>
      <c r="L92">
        <v>8</v>
      </c>
      <c r="M92">
        <v>6</v>
      </c>
      <c r="N92">
        <v>5</v>
      </c>
      <c r="O92">
        <v>8</v>
      </c>
      <c r="P92">
        <v>8</v>
      </c>
      <c r="Q92">
        <v>8</v>
      </c>
      <c r="S92">
        <v>8</v>
      </c>
      <c r="T92">
        <v>8</v>
      </c>
      <c r="U92">
        <v>7</v>
      </c>
      <c r="V92">
        <v>8</v>
      </c>
    </row>
    <row r="93" spans="1:23" x14ac:dyDescent="0.2">
      <c r="A93">
        <v>4</v>
      </c>
      <c r="B93">
        <v>12</v>
      </c>
      <c r="C93">
        <v>11</v>
      </c>
      <c r="D93">
        <v>9</v>
      </c>
      <c r="E93">
        <v>11</v>
      </c>
      <c r="F93">
        <v>12</v>
      </c>
      <c r="G93">
        <v>12</v>
      </c>
      <c r="H93">
        <v>12</v>
      </c>
      <c r="I93">
        <v>12</v>
      </c>
      <c r="J93">
        <v>11</v>
      </c>
      <c r="K93">
        <v>12</v>
      </c>
      <c r="L93">
        <v>11</v>
      </c>
      <c r="M93">
        <v>10</v>
      </c>
      <c r="N93">
        <v>10</v>
      </c>
      <c r="O93">
        <v>9</v>
      </c>
      <c r="P93">
        <v>12</v>
      </c>
      <c r="Q93">
        <v>11</v>
      </c>
      <c r="S93">
        <v>12</v>
      </c>
      <c r="T93">
        <v>11</v>
      </c>
      <c r="U93">
        <v>10</v>
      </c>
      <c r="V93">
        <v>10</v>
      </c>
    </row>
    <row r="94" spans="1:23" x14ac:dyDescent="0.2">
      <c r="A94">
        <v>5</v>
      </c>
      <c r="B94">
        <v>12</v>
      </c>
      <c r="C94">
        <v>10</v>
      </c>
      <c r="D94">
        <v>12</v>
      </c>
      <c r="E94">
        <v>12</v>
      </c>
      <c r="F94">
        <v>12</v>
      </c>
      <c r="G94">
        <v>12</v>
      </c>
      <c r="H94">
        <v>12</v>
      </c>
      <c r="I94">
        <v>12</v>
      </c>
      <c r="J94">
        <v>11</v>
      </c>
      <c r="K94">
        <v>12</v>
      </c>
      <c r="L94">
        <v>12</v>
      </c>
      <c r="M94">
        <v>11</v>
      </c>
      <c r="N94">
        <v>9</v>
      </c>
      <c r="O94">
        <v>10</v>
      </c>
      <c r="P94">
        <v>12</v>
      </c>
      <c r="Q94">
        <v>12</v>
      </c>
      <c r="S94">
        <v>12</v>
      </c>
      <c r="T94">
        <v>12</v>
      </c>
      <c r="U94">
        <v>11</v>
      </c>
      <c r="V94">
        <v>12</v>
      </c>
    </row>
    <row r="95" spans="1:23" x14ac:dyDescent="0.2">
      <c r="A95">
        <v>6</v>
      </c>
      <c r="B95">
        <v>4</v>
      </c>
      <c r="C95">
        <v>4</v>
      </c>
      <c r="D95">
        <v>3</v>
      </c>
      <c r="E95">
        <v>4</v>
      </c>
      <c r="F95">
        <v>4</v>
      </c>
      <c r="G95">
        <v>4</v>
      </c>
      <c r="H95">
        <v>4</v>
      </c>
      <c r="I95">
        <v>4</v>
      </c>
      <c r="J95">
        <v>4</v>
      </c>
      <c r="K95">
        <v>4</v>
      </c>
      <c r="L95">
        <v>4</v>
      </c>
      <c r="M95">
        <v>4</v>
      </c>
      <c r="N95">
        <v>3</v>
      </c>
      <c r="O95">
        <v>4</v>
      </c>
      <c r="P95">
        <v>4</v>
      </c>
      <c r="Q95">
        <v>4</v>
      </c>
      <c r="S95">
        <v>4</v>
      </c>
      <c r="T95">
        <v>4</v>
      </c>
      <c r="U95">
        <v>4</v>
      </c>
      <c r="V95">
        <v>4</v>
      </c>
    </row>
    <row r="96" spans="1:23" x14ac:dyDescent="0.2">
      <c r="A96">
        <v>7</v>
      </c>
      <c r="B96">
        <v>6</v>
      </c>
      <c r="C96">
        <v>6</v>
      </c>
      <c r="D96">
        <v>6</v>
      </c>
      <c r="E96">
        <v>6</v>
      </c>
      <c r="F96">
        <v>6</v>
      </c>
      <c r="G96">
        <v>6</v>
      </c>
      <c r="H96">
        <v>5</v>
      </c>
      <c r="I96">
        <v>6</v>
      </c>
      <c r="J96">
        <v>6</v>
      </c>
      <c r="K96">
        <v>6</v>
      </c>
      <c r="L96">
        <v>6</v>
      </c>
      <c r="M96">
        <v>6</v>
      </c>
      <c r="N96">
        <v>4</v>
      </c>
      <c r="O96">
        <v>4</v>
      </c>
      <c r="P96">
        <v>6</v>
      </c>
      <c r="Q96">
        <v>6</v>
      </c>
      <c r="S96">
        <v>6</v>
      </c>
      <c r="T96">
        <v>4</v>
      </c>
      <c r="U96">
        <v>4</v>
      </c>
      <c r="V96">
        <v>4</v>
      </c>
    </row>
    <row r="97" spans="1:22" x14ac:dyDescent="0.2">
      <c r="A97">
        <v>8</v>
      </c>
      <c r="B97">
        <v>6</v>
      </c>
      <c r="C97">
        <v>6</v>
      </c>
      <c r="D97">
        <v>5</v>
      </c>
      <c r="E97">
        <v>6</v>
      </c>
      <c r="F97">
        <v>6</v>
      </c>
      <c r="G97">
        <v>6</v>
      </c>
      <c r="H97">
        <v>6</v>
      </c>
      <c r="I97">
        <v>6</v>
      </c>
      <c r="J97">
        <v>6</v>
      </c>
      <c r="K97">
        <v>6</v>
      </c>
      <c r="L97">
        <v>6</v>
      </c>
      <c r="M97">
        <v>6</v>
      </c>
      <c r="N97">
        <v>6</v>
      </c>
      <c r="O97">
        <v>2</v>
      </c>
      <c r="P97">
        <v>6</v>
      </c>
      <c r="Q97">
        <v>6</v>
      </c>
      <c r="S97">
        <v>6</v>
      </c>
      <c r="T97">
        <v>6</v>
      </c>
      <c r="U97">
        <v>4</v>
      </c>
      <c r="V97">
        <v>6</v>
      </c>
    </row>
    <row r="98" spans="1:22" x14ac:dyDescent="0.2">
      <c r="A98">
        <v>9</v>
      </c>
      <c r="B98">
        <v>6</v>
      </c>
      <c r="C98">
        <v>5</v>
      </c>
      <c r="D98">
        <v>4</v>
      </c>
      <c r="E98">
        <v>5</v>
      </c>
      <c r="F98">
        <v>5</v>
      </c>
      <c r="G98">
        <v>5</v>
      </c>
      <c r="H98">
        <v>5</v>
      </c>
      <c r="I98">
        <v>6</v>
      </c>
      <c r="J98">
        <v>6</v>
      </c>
      <c r="K98">
        <v>6</v>
      </c>
      <c r="L98">
        <v>5</v>
      </c>
      <c r="M98">
        <v>5</v>
      </c>
      <c r="N98">
        <v>6</v>
      </c>
      <c r="O98">
        <v>5</v>
      </c>
      <c r="P98">
        <v>5</v>
      </c>
      <c r="Q98">
        <v>6</v>
      </c>
      <c r="S98">
        <v>6</v>
      </c>
      <c r="T98">
        <v>5</v>
      </c>
      <c r="U98">
        <v>5</v>
      </c>
      <c r="V98">
        <v>4</v>
      </c>
    </row>
    <row r="99" spans="1:22" x14ac:dyDescent="0.2">
      <c r="A99">
        <v>10</v>
      </c>
      <c r="B99">
        <v>6</v>
      </c>
      <c r="C99">
        <v>6</v>
      </c>
      <c r="D99">
        <v>6</v>
      </c>
      <c r="E99">
        <v>6</v>
      </c>
      <c r="F99">
        <v>6</v>
      </c>
      <c r="G99">
        <v>3</v>
      </c>
      <c r="H99">
        <v>6</v>
      </c>
      <c r="I99">
        <v>6</v>
      </c>
      <c r="J99">
        <v>6</v>
      </c>
      <c r="K99">
        <v>5</v>
      </c>
      <c r="L99">
        <v>6</v>
      </c>
      <c r="M99">
        <v>6</v>
      </c>
      <c r="N99">
        <v>5</v>
      </c>
      <c r="O99">
        <v>6</v>
      </c>
      <c r="P99">
        <v>6</v>
      </c>
      <c r="Q99">
        <v>6</v>
      </c>
      <c r="S99">
        <v>6</v>
      </c>
      <c r="T99">
        <v>6</v>
      </c>
      <c r="U99">
        <v>4</v>
      </c>
      <c r="V99">
        <v>6</v>
      </c>
    </row>
    <row r="100" spans="1:22" x14ac:dyDescent="0.2">
      <c r="A100">
        <v>11</v>
      </c>
      <c r="B100">
        <v>6</v>
      </c>
      <c r="C100">
        <v>5</v>
      </c>
      <c r="D100">
        <v>4</v>
      </c>
      <c r="E100">
        <v>6</v>
      </c>
      <c r="F100">
        <v>6</v>
      </c>
      <c r="G100">
        <v>6</v>
      </c>
      <c r="H100">
        <v>6</v>
      </c>
      <c r="I100">
        <v>6</v>
      </c>
      <c r="J100">
        <v>6</v>
      </c>
      <c r="K100">
        <v>6</v>
      </c>
      <c r="L100">
        <v>6</v>
      </c>
      <c r="M100">
        <v>5</v>
      </c>
      <c r="N100">
        <v>6</v>
      </c>
      <c r="O100">
        <v>6</v>
      </c>
      <c r="P100">
        <v>5</v>
      </c>
      <c r="Q100">
        <v>6</v>
      </c>
      <c r="S100">
        <v>6</v>
      </c>
      <c r="T100">
        <v>6</v>
      </c>
      <c r="U100">
        <v>6</v>
      </c>
      <c r="V100">
        <v>6</v>
      </c>
    </row>
    <row r="101" spans="1:22" x14ac:dyDescent="0.2">
      <c r="A101">
        <v>12</v>
      </c>
      <c r="B101">
        <v>6</v>
      </c>
      <c r="C101">
        <v>6</v>
      </c>
      <c r="D101">
        <v>6</v>
      </c>
      <c r="E101">
        <v>6</v>
      </c>
      <c r="F101">
        <v>6</v>
      </c>
      <c r="G101">
        <v>6</v>
      </c>
      <c r="H101">
        <v>6</v>
      </c>
      <c r="I101">
        <v>6</v>
      </c>
      <c r="J101">
        <v>6</v>
      </c>
      <c r="K101">
        <v>6</v>
      </c>
      <c r="L101">
        <v>6</v>
      </c>
      <c r="M101">
        <v>6</v>
      </c>
      <c r="N101">
        <v>6</v>
      </c>
      <c r="O101">
        <v>4</v>
      </c>
      <c r="P101">
        <v>6</v>
      </c>
      <c r="Q101">
        <v>6</v>
      </c>
      <c r="S101">
        <v>6</v>
      </c>
      <c r="T101">
        <v>6</v>
      </c>
      <c r="U101">
        <v>5</v>
      </c>
      <c r="V101">
        <v>6</v>
      </c>
    </row>
    <row r="102" spans="1:22" x14ac:dyDescent="0.2">
      <c r="A102">
        <v>13</v>
      </c>
      <c r="B102">
        <v>8</v>
      </c>
      <c r="C102">
        <v>7</v>
      </c>
      <c r="D102">
        <v>6</v>
      </c>
      <c r="E102">
        <v>5</v>
      </c>
      <c r="F102">
        <v>8</v>
      </c>
      <c r="G102">
        <v>8</v>
      </c>
      <c r="H102">
        <v>8</v>
      </c>
      <c r="I102">
        <v>8</v>
      </c>
      <c r="J102">
        <v>7</v>
      </c>
      <c r="K102">
        <v>6</v>
      </c>
      <c r="L102">
        <v>6</v>
      </c>
      <c r="M102">
        <v>8</v>
      </c>
      <c r="N102">
        <v>8</v>
      </c>
      <c r="O102">
        <v>8</v>
      </c>
      <c r="P102">
        <v>8</v>
      </c>
      <c r="Q102">
        <v>8</v>
      </c>
      <c r="S102">
        <v>8</v>
      </c>
      <c r="T102">
        <v>6</v>
      </c>
      <c r="U102">
        <v>5</v>
      </c>
      <c r="V102">
        <v>6</v>
      </c>
    </row>
    <row r="103" spans="1:22" x14ac:dyDescent="0.2">
      <c r="A103" s="1" t="s">
        <v>76</v>
      </c>
      <c r="B103">
        <f>SUM(B90:B102)</f>
        <v>100</v>
      </c>
      <c r="C103">
        <f>SUM(C90:C102)</f>
        <v>94</v>
      </c>
      <c r="D103">
        <f>SUM(D90:D102)</f>
        <v>82</v>
      </c>
      <c r="E103">
        <f>SUM(E90:E102)</f>
        <v>95</v>
      </c>
      <c r="F103">
        <f>SUM(F90:F102)</f>
        <v>99</v>
      </c>
      <c r="G103">
        <f>SUM(G90:G102)</f>
        <v>92</v>
      </c>
      <c r="H103">
        <f>SUM(H90:H102)</f>
        <v>97</v>
      </c>
      <c r="I103">
        <f>SUM(I90:I102)</f>
        <v>100</v>
      </c>
      <c r="J103">
        <f>SUM(J90:J102)</f>
        <v>97</v>
      </c>
      <c r="K103">
        <f>SUM(K90:K102)</f>
        <v>95</v>
      </c>
      <c r="L103">
        <f>SUM(L90:L102)</f>
        <v>96</v>
      </c>
      <c r="M103">
        <f>SUM(M90:M102)</f>
        <v>93</v>
      </c>
      <c r="N103">
        <f>SUM(N90:N102)</f>
        <v>85</v>
      </c>
      <c r="O103">
        <f>SUM(O90:O102)</f>
        <v>86</v>
      </c>
      <c r="P103">
        <f>SUM(P90:P102)</f>
        <v>98</v>
      </c>
      <c r="Q103">
        <f>SUM(Q90:Q102)</f>
        <v>99</v>
      </c>
      <c r="S103">
        <f>SUM(S90:S102)</f>
        <v>100</v>
      </c>
      <c r="T103">
        <f>SUM(T90:T102)</f>
        <v>93</v>
      </c>
      <c r="U103">
        <f>SUM(U90:U102)</f>
        <v>83</v>
      </c>
      <c r="V103">
        <f>SUM(V90:V102)</f>
        <v>92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2026-05-06T22:14:20Z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