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TEACHING/Nuclear_Fuel_Performance/NE533_Spring2026/"/>
    </mc:Choice>
  </mc:AlternateContent>
  <xr:revisionPtr revIDLastSave="0" documentId="13_ncr:1_{EB762813-E62C-B843-BDE2-5B0026104145}" xr6:coauthVersionLast="47" xr6:coauthVersionMax="47" xr10:uidLastSave="{00000000-0000-0000-0000-000000000000}"/>
  <bookViews>
    <workbookView xWindow="20700" yWindow="4580" windowWidth="23980" windowHeight="20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P29" i="1" s="1"/>
  <c r="P28" i="1"/>
  <c r="O28" i="1"/>
  <c r="O20" i="1"/>
  <c r="P20" i="1"/>
  <c r="O21" i="1"/>
  <c r="P21" i="1" s="1"/>
  <c r="O22" i="1"/>
  <c r="P22" i="1" s="1"/>
  <c r="O23" i="1"/>
  <c r="P23" i="1" s="1"/>
  <c r="O24" i="1"/>
  <c r="P24" i="1" s="1"/>
  <c r="O19" i="1"/>
  <c r="P19" i="1" s="1"/>
  <c r="O6" i="1"/>
  <c r="O7" i="1"/>
  <c r="O8" i="1"/>
  <c r="O9" i="1"/>
  <c r="O10" i="1"/>
  <c r="P10" i="1" s="1"/>
  <c r="O11" i="1"/>
  <c r="O12" i="1"/>
  <c r="P12" i="1" s="1"/>
  <c r="O13" i="1"/>
  <c r="O14" i="1"/>
  <c r="P14" i="1" s="1"/>
  <c r="O15" i="1"/>
  <c r="O16" i="1"/>
  <c r="O17" i="1"/>
  <c r="P6" i="1"/>
  <c r="P7" i="1"/>
  <c r="P8" i="1"/>
  <c r="P9" i="1"/>
  <c r="P11" i="1"/>
  <c r="P13" i="1"/>
  <c r="P15" i="1"/>
  <c r="P16" i="1"/>
  <c r="P17" i="1"/>
  <c r="P5" i="1"/>
  <c r="O5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J31" i="1"/>
  <c r="J34" i="1" s="1"/>
  <c r="K31" i="1"/>
  <c r="K34" i="1" s="1"/>
  <c r="L31" i="1"/>
  <c r="L34" i="1" s="1"/>
  <c r="M31" i="1"/>
  <c r="M34" i="1" s="1"/>
  <c r="N31" i="1"/>
  <c r="N34" i="1" s="1"/>
  <c r="J32" i="1"/>
  <c r="K32" i="1"/>
  <c r="L32" i="1"/>
  <c r="M32" i="1"/>
  <c r="N32" i="1"/>
  <c r="G31" i="1"/>
  <c r="G34" i="1" s="1"/>
  <c r="H31" i="1"/>
  <c r="H34" i="1" s="1"/>
  <c r="I31" i="1"/>
  <c r="I34" i="1" s="1"/>
  <c r="G32" i="1"/>
  <c r="H32" i="1"/>
  <c r="I32" i="1"/>
  <c r="F32" i="1"/>
  <c r="F31" i="1"/>
  <c r="F34" i="1" s="1"/>
  <c r="N27" i="1"/>
  <c r="N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B53" i="1"/>
</calcChain>
</file>

<file path=xl/sharedStrings.xml><?xml version="1.0" encoding="utf-8"?>
<sst xmlns="http://schemas.openxmlformats.org/spreadsheetml/2006/main" count="128" uniqueCount="102">
  <si>
    <t>First name</t>
  </si>
  <si>
    <t>Last name</t>
  </si>
  <si>
    <t>Email address</t>
  </si>
  <si>
    <t>Groups</t>
  </si>
  <si>
    <t>Ethan</t>
  </si>
  <si>
    <t>Arnold</t>
  </si>
  <si>
    <t>earnold@ncsu.edu</t>
  </si>
  <si>
    <t>Zach</t>
  </si>
  <si>
    <t>Bevans</t>
  </si>
  <si>
    <t>zbevans@ncsu.edu</t>
  </si>
  <si>
    <t>Crystal</t>
  </si>
  <si>
    <t>Bowers</t>
  </si>
  <si>
    <t>cbowers2@ncsu.edu</t>
  </si>
  <si>
    <t>Ingrid</t>
  </si>
  <si>
    <t>Caraballo-Lopez</t>
  </si>
  <si>
    <t>incaraba@ncsu.edu</t>
  </si>
  <si>
    <t>Wonkyo</t>
  </si>
  <si>
    <t>Cho</t>
  </si>
  <si>
    <t>wcho4@ncsu.edu</t>
  </si>
  <si>
    <t>Ivan</t>
  </si>
  <si>
    <t>Davis</t>
  </si>
  <si>
    <t>imdavis3@ncsu.edu</t>
  </si>
  <si>
    <t>Preston</t>
  </si>
  <si>
    <t>Decker-Fisk</t>
  </si>
  <si>
    <t>pdecker@ncsu.edu</t>
  </si>
  <si>
    <t>Jack</t>
  </si>
  <si>
    <t>Falcoz-Vigne</t>
  </si>
  <si>
    <t>jsfalcoz@ncsu.edu</t>
  </si>
  <si>
    <t>Md  Fahim</t>
  </si>
  <si>
    <t>Foraejee</t>
  </si>
  <si>
    <t>mforaej@ncsu.edu</t>
  </si>
  <si>
    <t>Steven</t>
  </si>
  <si>
    <t>Hood</t>
  </si>
  <si>
    <t>sthood2@ncsu.edu</t>
  </si>
  <si>
    <t>Aidan</t>
  </si>
  <si>
    <t>Masi</t>
  </si>
  <si>
    <t>abmasi@ncsu.edu</t>
  </si>
  <si>
    <t>Abby</t>
  </si>
  <si>
    <t>Mathias</t>
  </si>
  <si>
    <t>ahmathia@ncsu.edu</t>
  </si>
  <si>
    <t>Cameron</t>
  </si>
  <si>
    <t>Myers</t>
  </si>
  <si>
    <t>crmyers3@ncsu.edu</t>
  </si>
  <si>
    <t>Johnathan</t>
  </si>
  <si>
    <t>Pack</t>
  </si>
  <si>
    <t>jwpack2@ncsu.edu</t>
  </si>
  <si>
    <t>Fletcher</t>
  </si>
  <si>
    <t>Smith</t>
  </si>
  <si>
    <t>fsmith4@ncsu.edu</t>
  </si>
  <si>
    <t>Sweeney</t>
  </si>
  <si>
    <t>ztsweene@ncsu.edu</t>
  </si>
  <si>
    <t>Connor</t>
  </si>
  <si>
    <t>van Heugten</t>
  </si>
  <si>
    <t>crvanheu@ncsu.edu</t>
  </si>
  <si>
    <t>Max</t>
  </si>
  <si>
    <t>Velasco</t>
  </si>
  <si>
    <t>mjvelas2@ncsu.edu</t>
  </si>
  <si>
    <t>Blake</t>
  </si>
  <si>
    <t>Wilson</t>
  </si>
  <si>
    <t>bwilson9@ncsu.edu</t>
  </si>
  <si>
    <t>enwilso4@ncsu.edu</t>
  </si>
  <si>
    <t>Exam1</t>
  </si>
  <si>
    <t>Exam 2</t>
  </si>
  <si>
    <t>Exam 3</t>
  </si>
  <si>
    <t>Exam 4</t>
  </si>
  <si>
    <t>Presentation</t>
  </si>
  <si>
    <t>Moose 1</t>
  </si>
  <si>
    <t>Moose 2</t>
  </si>
  <si>
    <t>Moose 3</t>
  </si>
  <si>
    <t>Curve</t>
  </si>
  <si>
    <t>NE433</t>
  </si>
  <si>
    <t>NE533</t>
  </si>
  <si>
    <t>tjholman@ncsu.edu </t>
  </si>
  <si>
    <t>Tyler</t>
  </si>
  <si>
    <t>Holman</t>
  </si>
  <si>
    <t>Exam 1</t>
  </si>
  <si>
    <t>total</t>
  </si>
  <si>
    <t>Z Bevans</t>
  </si>
  <si>
    <t>W. Cho</t>
  </si>
  <si>
    <t>J. Falcoz-Vigne</t>
  </si>
  <si>
    <t>Fahim Foraejee</t>
  </si>
  <si>
    <t>S. Hood</t>
  </si>
  <si>
    <t>A. Masi</t>
  </si>
  <si>
    <t>A. Mathias</t>
  </si>
  <si>
    <t>J. Pack</t>
  </si>
  <si>
    <t>F. Smith</t>
  </si>
  <si>
    <t>C. van Heugten</t>
  </si>
  <si>
    <t>M. Velasco</t>
  </si>
  <si>
    <t>B. Wilson</t>
  </si>
  <si>
    <t>E. Wilson</t>
  </si>
  <si>
    <t>E. Arnold</t>
  </si>
  <si>
    <t>C. Bowers</t>
  </si>
  <si>
    <t>I. Caraballo-Lopez</t>
  </si>
  <si>
    <t>I. Davis</t>
  </si>
  <si>
    <t>P. Decker-Fish</t>
  </si>
  <si>
    <t>Z. Sweeney</t>
  </si>
  <si>
    <t>C. Myers</t>
  </si>
  <si>
    <t>T. Holman</t>
  </si>
  <si>
    <t>Average</t>
  </si>
  <si>
    <t>Avg + curve</t>
  </si>
  <si>
    <t>Stdev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</si>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</sst>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"/>
  <sheetViews>
    <sheetView tabSelected="1" workbookViewId="0">
      <selection activeCell="N11" sqref="N11"/>
    </sheetView>
  </sheetViews>
  <sheetFormatPr baseColWidth="10" defaultRowHeight="16" x14ac:dyDescent="0.2"/>
  <cols>
    <col min="10" max="10" width="12.5" customWidth="1"/>
  </cols>
  <sheetData>
    <row r="1" spans="1:16" x14ac:dyDescent="0.2">
      <c r="H1">
        <v>0.16</v>
      </c>
      <c r="I1">
        <v>0.16</v>
      </c>
      <c r="J1">
        <v>0.16</v>
      </c>
      <c r="K1">
        <v>0.05</v>
      </c>
      <c r="L1">
        <v>0.05</v>
      </c>
      <c r="M1">
        <v>0.1</v>
      </c>
    </row>
    <row r="2" spans="1:16" x14ac:dyDescent="0.2">
      <c r="F2">
        <v>0.16</v>
      </c>
      <c r="G2">
        <v>0.16</v>
      </c>
      <c r="K2">
        <v>0.05</v>
      </c>
      <c r="N2">
        <f>SUM(F2:M2)</f>
        <v>0.37</v>
      </c>
      <c r="O2" s="1" t="s">
        <v>101</v>
      </c>
    </row>
    <row r="3" spans="1:16" x14ac:dyDescent="0.2">
      <c r="B3" s="1" t="s">
        <v>71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</row>
    <row r="4" spans="1:16" x14ac:dyDescent="0.2">
      <c r="B4" t="s">
        <v>0</v>
      </c>
      <c r="C4" t="s">
        <v>1</v>
      </c>
      <c r="D4" t="s">
        <v>2</v>
      </c>
      <c r="E4" t="s">
        <v>3</v>
      </c>
    </row>
    <row r="5" spans="1:16" x14ac:dyDescent="0.2">
      <c r="A5">
        <v>1</v>
      </c>
      <c r="B5" t="s">
        <v>7</v>
      </c>
      <c r="C5" t="s">
        <v>8</v>
      </c>
      <c r="D5" t="s">
        <v>9</v>
      </c>
      <c r="F5">
        <v>93</v>
      </c>
      <c r="G5">
        <v>93</v>
      </c>
      <c r="O5">
        <f>(F5+F$33)*F$2+G$2*(G5+G$33)+H$2*(H5+H$33)+I$2*(I5+I$33)+J$2*(J5+J$33)+K$2*(K5+K$33)+L$2*(L5+L$33)+M$2*(M5+M$33)</f>
        <v>31.68</v>
      </c>
      <c r="P5" s="2">
        <f>O5/$N$2</f>
        <v>85.621621621621628</v>
      </c>
    </row>
    <row r="6" spans="1:16" x14ac:dyDescent="0.2">
      <c r="A6">
        <v>2</v>
      </c>
      <c r="B6" t="s">
        <v>16</v>
      </c>
      <c r="C6" t="s">
        <v>17</v>
      </c>
      <c r="D6" t="s">
        <v>18</v>
      </c>
      <c r="F6">
        <v>81</v>
      </c>
      <c r="G6">
        <v>87</v>
      </c>
      <c r="K6">
        <v>88</v>
      </c>
      <c r="O6">
        <f t="shared" ref="O6:O17" si="0">(F6+F$33)*F$2+G$2*(G6+G$33)+H$2*(H6+H$33)+I$2*(I6+I$33)+J$2*(J6+J$33)+K$2*(K6+K$33)+L$2*(L6+L$33)+M$2*(M6+M$33)</f>
        <v>33.200000000000003</v>
      </c>
      <c r="P6" s="2">
        <f t="shared" ref="P6:P24" si="1">O6/$N$2</f>
        <v>89.72972972972974</v>
      </c>
    </row>
    <row r="7" spans="1:16" x14ac:dyDescent="0.2">
      <c r="A7">
        <v>3</v>
      </c>
      <c r="B7" t="s">
        <v>25</v>
      </c>
      <c r="C7" t="s">
        <v>26</v>
      </c>
      <c r="D7" t="s">
        <v>27</v>
      </c>
      <c r="F7">
        <v>97</v>
      </c>
      <c r="G7">
        <v>98</v>
      </c>
      <c r="O7">
        <f t="shared" si="0"/>
        <v>33.120000000000005</v>
      </c>
      <c r="P7" s="2">
        <f t="shared" si="1"/>
        <v>89.51351351351353</v>
      </c>
    </row>
    <row r="8" spans="1:16" x14ac:dyDescent="0.2">
      <c r="A8">
        <v>4</v>
      </c>
      <c r="B8" t="s">
        <v>28</v>
      </c>
      <c r="C8" t="s">
        <v>29</v>
      </c>
      <c r="D8" t="s">
        <v>30</v>
      </c>
      <c r="F8">
        <v>98</v>
      </c>
      <c r="G8">
        <v>99</v>
      </c>
      <c r="O8">
        <f t="shared" si="0"/>
        <v>33.44</v>
      </c>
      <c r="P8" s="2">
        <f t="shared" si="1"/>
        <v>90.378378378378372</v>
      </c>
    </row>
    <row r="9" spans="1:16" x14ac:dyDescent="0.2">
      <c r="A9">
        <v>5</v>
      </c>
      <c r="B9" t="s">
        <v>31</v>
      </c>
      <c r="C9" t="s">
        <v>32</v>
      </c>
      <c r="D9" t="s">
        <v>33</v>
      </c>
      <c r="F9">
        <v>76</v>
      </c>
      <c r="G9">
        <v>86</v>
      </c>
      <c r="O9">
        <f t="shared" si="0"/>
        <v>27.840000000000003</v>
      </c>
      <c r="P9" s="2">
        <f t="shared" si="1"/>
        <v>75.243243243243256</v>
      </c>
    </row>
    <row r="10" spans="1:16" x14ac:dyDescent="0.2">
      <c r="A10">
        <v>6</v>
      </c>
      <c r="B10" t="s">
        <v>34</v>
      </c>
      <c r="C10" t="s">
        <v>35</v>
      </c>
      <c r="D10" t="s">
        <v>36</v>
      </c>
      <c r="F10">
        <v>94</v>
      </c>
      <c r="G10">
        <v>90</v>
      </c>
      <c r="K10">
        <v>98</v>
      </c>
      <c r="O10">
        <f t="shared" si="0"/>
        <v>36.26</v>
      </c>
      <c r="P10" s="2">
        <f t="shared" si="1"/>
        <v>98</v>
      </c>
    </row>
    <row r="11" spans="1:16" x14ac:dyDescent="0.2">
      <c r="A11">
        <v>7</v>
      </c>
      <c r="B11" t="s">
        <v>37</v>
      </c>
      <c r="C11" t="s">
        <v>38</v>
      </c>
      <c r="D11" t="s">
        <v>39</v>
      </c>
      <c r="F11">
        <v>94</v>
      </c>
      <c r="G11">
        <v>100</v>
      </c>
      <c r="K11">
        <v>91</v>
      </c>
      <c r="O11">
        <f t="shared" si="0"/>
        <v>37.51</v>
      </c>
      <c r="P11" s="2">
        <f t="shared" si="1"/>
        <v>101.37837837837837</v>
      </c>
    </row>
    <row r="12" spans="1:16" x14ac:dyDescent="0.2">
      <c r="A12">
        <v>8</v>
      </c>
      <c r="B12" t="s">
        <v>43</v>
      </c>
      <c r="C12" t="s">
        <v>44</v>
      </c>
      <c r="D12" t="s">
        <v>45</v>
      </c>
      <c r="F12">
        <v>85</v>
      </c>
      <c r="G12">
        <v>85</v>
      </c>
      <c r="O12">
        <f t="shared" si="0"/>
        <v>29.12</v>
      </c>
      <c r="P12" s="2">
        <f t="shared" si="1"/>
        <v>78.702702702702709</v>
      </c>
    </row>
    <row r="13" spans="1:16" x14ac:dyDescent="0.2">
      <c r="A13">
        <v>9</v>
      </c>
      <c r="B13" t="s">
        <v>46</v>
      </c>
      <c r="C13" t="s">
        <v>47</v>
      </c>
      <c r="D13" t="s">
        <v>48</v>
      </c>
      <c r="F13">
        <v>92</v>
      </c>
      <c r="G13">
        <v>95</v>
      </c>
      <c r="O13">
        <f t="shared" si="0"/>
        <v>31.84</v>
      </c>
      <c r="P13" s="2">
        <f t="shared" si="1"/>
        <v>86.054054054054049</v>
      </c>
    </row>
    <row r="14" spans="1:16" x14ac:dyDescent="0.2">
      <c r="A14">
        <v>10</v>
      </c>
      <c r="B14" t="s">
        <v>51</v>
      </c>
      <c r="C14" t="s">
        <v>52</v>
      </c>
      <c r="D14" t="s">
        <v>53</v>
      </c>
      <c r="F14">
        <v>93</v>
      </c>
      <c r="G14">
        <v>94</v>
      </c>
      <c r="K14">
        <v>98</v>
      </c>
      <c r="O14">
        <f t="shared" si="0"/>
        <v>36.74</v>
      </c>
      <c r="P14" s="2">
        <f t="shared" si="1"/>
        <v>99.297297297297305</v>
      </c>
    </row>
    <row r="15" spans="1:16" x14ac:dyDescent="0.2">
      <c r="A15">
        <v>11</v>
      </c>
      <c r="B15" t="s">
        <v>54</v>
      </c>
      <c r="C15" t="s">
        <v>55</v>
      </c>
      <c r="D15" t="s">
        <v>56</v>
      </c>
      <c r="F15">
        <v>100</v>
      </c>
      <c r="G15">
        <v>90</v>
      </c>
      <c r="O15">
        <f t="shared" si="0"/>
        <v>32.32</v>
      </c>
      <c r="P15" s="2">
        <f t="shared" si="1"/>
        <v>87.351351351351354</v>
      </c>
    </row>
    <row r="16" spans="1:16" x14ac:dyDescent="0.2">
      <c r="A16">
        <v>12</v>
      </c>
      <c r="B16" t="s">
        <v>57</v>
      </c>
      <c r="C16" t="s">
        <v>58</v>
      </c>
      <c r="D16" t="s">
        <v>59</v>
      </c>
      <c r="F16">
        <v>51</v>
      </c>
      <c r="G16">
        <v>72</v>
      </c>
      <c r="K16">
        <v>85</v>
      </c>
      <c r="O16">
        <f t="shared" si="0"/>
        <v>25.85</v>
      </c>
      <c r="P16" s="2">
        <f t="shared" si="1"/>
        <v>69.86486486486487</v>
      </c>
    </row>
    <row r="17" spans="1:16" x14ac:dyDescent="0.2">
      <c r="A17">
        <v>13</v>
      </c>
      <c r="B17" t="s">
        <v>4</v>
      </c>
      <c r="C17" t="s">
        <v>58</v>
      </c>
      <c r="D17" t="s">
        <v>60</v>
      </c>
      <c r="F17">
        <v>78</v>
      </c>
      <c r="G17">
        <v>88</v>
      </c>
      <c r="O17">
        <f t="shared" si="0"/>
        <v>28.48</v>
      </c>
      <c r="P17" s="2">
        <f t="shared" si="1"/>
        <v>76.972972972972968</v>
      </c>
    </row>
    <row r="18" spans="1:16" x14ac:dyDescent="0.2">
      <c r="P18" s="2"/>
    </row>
    <row r="19" spans="1:16" x14ac:dyDescent="0.2">
      <c r="A19">
        <v>14</v>
      </c>
      <c r="B19" t="s">
        <v>4</v>
      </c>
      <c r="C19" t="s">
        <v>5</v>
      </c>
      <c r="D19" t="s">
        <v>6</v>
      </c>
      <c r="F19">
        <v>100</v>
      </c>
      <c r="G19">
        <v>96</v>
      </c>
      <c r="K19">
        <v>100</v>
      </c>
      <c r="O19">
        <f t="shared" ref="O19" si="2">(F19+F$33)*F$2+G$2*(G19+G$33)+H$2*(H19+H$33)+I$2*(I19+I$33)+J$2*(J19+J$33)+K$2*(K19+K$33)+L$2*(L19+L$33)+M$2*(M19+M$33)</f>
        <v>38.28</v>
      </c>
      <c r="P19" s="2">
        <f t="shared" si="1"/>
        <v>103.45945945945947</v>
      </c>
    </row>
    <row r="20" spans="1:16" x14ac:dyDescent="0.2">
      <c r="A20">
        <v>15</v>
      </c>
      <c r="B20" t="s">
        <v>10</v>
      </c>
      <c r="C20" t="s">
        <v>11</v>
      </c>
      <c r="D20" t="s">
        <v>12</v>
      </c>
      <c r="F20">
        <v>94</v>
      </c>
      <c r="G20">
        <v>100</v>
      </c>
      <c r="O20">
        <f t="shared" ref="O20:O24" si="3">(F20+F$33)*F$2+G$2*(G20+G$33)+H$2*(H20+H$33)+I$2*(I20+I$33)+J$2*(J20+J$33)+K$2*(K20+K$33)+L$2*(L20+L$33)+M$2*(M20+M$33)</f>
        <v>32.96</v>
      </c>
      <c r="P20" s="2">
        <f t="shared" si="1"/>
        <v>89.081081081081081</v>
      </c>
    </row>
    <row r="21" spans="1:16" x14ac:dyDescent="0.2">
      <c r="A21">
        <v>16</v>
      </c>
      <c r="B21" t="s">
        <v>13</v>
      </c>
      <c r="C21" t="s">
        <v>14</v>
      </c>
      <c r="D21" t="s">
        <v>15</v>
      </c>
      <c r="F21">
        <v>70</v>
      </c>
      <c r="G21">
        <v>65</v>
      </c>
      <c r="O21">
        <f t="shared" si="3"/>
        <v>23.520000000000003</v>
      </c>
      <c r="P21" s="2">
        <f t="shared" si="1"/>
        <v>63.567567567567579</v>
      </c>
    </row>
    <row r="22" spans="1:16" x14ac:dyDescent="0.2">
      <c r="A22">
        <v>17</v>
      </c>
      <c r="B22" t="s">
        <v>19</v>
      </c>
      <c r="C22" t="s">
        <v>20</v>
      </c>
      <c r="D22" t="s">
        <v>21</v>
      </c>
      <c r="F22">
        <v>90</v>
      </c>
      <c r="G22">
        <v>81</v>
      </c>
      <c r="O22">
        <f t="shared" si="3"/>
        <v>29.28</v>
      </c>
      <c r="P22" s="2">
        <f t="shared" si="1"/>
        <v>79.135135135135144</v>
      </c>
    </row>
    <row r="23" spans="1:16" x14ac:dyDescent="0.2">
      <c r="A23">
        <v>18</v>
      </c>
      <c r="B23" t="s">
        <v>22</v>
      </c>
      <c r="C23" t="s">
        <v>23</v>
      </c>
      <c r="D23" t="s">
        <v>24</v>
      </c>
      <c r="F23">
        <v>86</v>
      </c>
      <c r="G23">
        <v>93</v>
      </c>
      <c r="K23">
        <v>94</v>
      </c>
      <c r="O23">
        <f t="shared" si="3"/>
        <v>35.260000000000005</v>
      </c>
      <c r="P23" s="2">
        <f t="shared" si="1"/>
        <v>95.297297297297305</v>
      </c>
    </row>
    <row r="24" spans="1:16" x14ac:dyDescent="0.2">
      <c r="A24">
        <v>19</v>
      </c>
      <c r="B24" t="s">
        <v>7</v>
      </c>
      <c r="C24" t="s">
        <v>49</v>
      </c>
      <c r="D24" t="s">
        <v>50</v>
      </c>
      <c r="F24">
        <v>78</v>
      </c>
      <c r="G24">
        <v>81</v>
      </c>
      <c r="O24">
        <f t="shared" si="3"/>
        <v>27.36</v>
      </c>
      <c r="P24" s="2">
        <f t="shared" si="1"/>
        <v>73.945945945945951</v>
      </c>
    </row>
    <row r="25" spans="1:16" x14ac:dyDescent="0.2">
      <c r="P25" s="2"/>
    </row>
    <row r="26" spans="1:16" x14ac:dyDescent="0.2">
      <c r="H26">
        <v>0.2</v>
      </c>
      <c r="I26">
        <v>0.2</v>
      </c>
      <c r="K26">
        <v>0.05</v>
      </c>
      <c r="L26">
        <v>0.05</v>
      </c>
      <c r="M26">
        <v>0.1</v>
      </c>
      <c r="P26" s="2"/>
    </row>
    <row r="27" spans="1:16" x14ac:dyDescent="0.2">
      <c r="B27" s="1" t="s">
        <v>70</v>
      </c>
      <c r="F27">
        <v>0.2</v>
      </c>
      <c r="G27">
        <v>0.2</v>
      </c>
      <c r="K27">
        <v>0.05</v>
      </c>
      <c r="N27">
        <f>SUM(F27:M27)</f>
        <v>0.45</v>
      </c>
      <c r="P27" s="2"/>
    </row>
    <row r="28" spans="1:16" x14ac:dyDescent="0.2">
      <c r="A28">
        <v>20</v>
      </c>
      <c r="B28" t="s">
        <v>40</v>
      </c>
      <c r="C28" t="s">
        <v>41</v>
      </c>
      <c r="D28" t="s">
        <v>42</v>
      </c>
      <c r="F28">
        <v>72</v>
      </c>
      <c r="G28">
        <v>86</v>
      </c>
      <c r="K28">
        <v>75</v>
      </c>
      <c r="O28">
        <f>(F28+F$33)*F$27+G$27*(G28+G$33)+H$27*(H28+H$33)+I$27*(I28+I$33)+J$27*(J28+J$33)+K$27*(K28+K$33)+L$27*(L28+L$33)+M$27*(M28+M$33)</f>
        <v>37.75</v>
      </c>
      <c r="P28" s="2">
        <f>O28/$N$27</f>
        <v>83.888888888888886</v>
      </c>
    </row>
    <row r="29" spans="1:16" x14ac:dyDescent="0.2">
      <c r="A29">
        <v>21</v>
      </c>
      <c r="B29" s="1" t="s">
        <v>73</v>
      </c>
      <c r="C29" s="1" t="s">
        <v>74</v>
      </c>
      <c r="D29" s="1" t="s">
        <v>72</v>
      </c>
      <c r="F29">
        <v>20</v>
      </c>
      <c r="G29">
        <v>17</v>
      </c>
      <c r="O29">
        <f>(F29+F$33)*F$27+G$27*(G29+G$33)+H$27*(H29+H$33)+I$27*(I29+I$33)+J$27*(J29+J$33)+K$27*(K29+K$33)+L$27*(L29+L$33)+M$27*(M29+M$33)</f>
        <v>9.8000000000000007</v>
      </c>
      <c r="P29" s="2">
        <f>O29/$N$27</f>
        <v>21.777777777777779</v>
      </c>
    </row>
    <row r="30" spans="1:16" x14ac:dyDescent="0.2">
      <c r="B30" s="1"/>
      <c r="C30" s="1"/>
      <c r="D30" s="1"/>
    </row>
    <row r="31" spans="1:16" x14ac:dyDescent="0.2">
      <c r="E31" s="1" t="s">
        <v>98</v>
      </c>
      <c r="F31">
        <f>AVERAGE(F5:F24,F28:F29)</f>
        <v>82.952380952380949</v>
      </c>
      <c r="G31">
        <f t="shared" ref="G31:I31" si="4">AVERAGE(G5:G24,G28:G29)</f>
        <v>85.523809523809518</v>
      </c>
      <c r="H31" t="e">
        <f t="shared" si="4"/>
        <v>#DIV/0!</v>
      </c>
      <c r="I31" t="e">
        <f t="shared" si="4"/>
        <v>#DIV/0!</v>
      </c>
      <c r="J31" t="e">
        <f t="shared" ref="J31:N31" si="5">AVERAGE(J5:J24,J28:J29)</f>
        <v>#DIV/0!</v>
      </c>
      <c r="K31">
        <f t="shared" si="5"/>
        <v>91.125</v>
      </c>
      <c r="L31" t="e">
        <f t="shared" si="5"/>
        <v>#DIV/0!</v>
      </c>
      <c r="M31" t="e">
        <f t="shared" si="5"/>
        <v>#DIV/0!</v>
      </c>
      <c r="N31" t="e">
        <f t="shared" si="5"/>
        <v>#DIV/0!</v>
      </c>
    </row>
    <row r="32" spans="1:16" x14ac:dyDescent="0.2">
      <c r="E32" s="1" t="s">
        <v>100</v>
      </c>
      <c r="F32">
        <f>STDEV(F5:F24,F28:F29)</f>
        <v>18.829434910469786</v>
      </c>
      <c r="G32">
        <f t="shared" ref="G32:I32" si="6">STDEV(G5:G24,G28:G29)</f>
        <v>18.06825682687473</v>
      </c>
      <c r="H32" t="e">
        <f t="shared" si="6"/>
        <v>#DIV/0!</v>
      </c>
      <c r="I32" t="e">
        <f t="shared" si="6"/>
        <v>#DIV/0!</v>
      </c>
      <c r="J32" t="e">
        <f t="shared" ref="J32:N32" si="7">STDEV(J5:J24,J28:J29)</f>
        <v>#DIV/0!</v>
      </c>
      <c r="K32">
        <f t="shared" si="7"/>
        <v>8.3569902305965211</v>
      </c>
      <c r="L32" t="e">
        <f t="shared" si="7"/>
        <v>#DIV/0!</v>
      </c>
      <c r="M32" t="e">
        <f t="shared" si="7"/>
        <v>#DIV/0!</v>
      </c>
      <c r="N32" t="e">
        <f t="shared" si="7"/>
        <v>#DIV/0!</v>
      </c>
    </row>
    <row r="33" spans="1:23" x14ac:dyDescent="0.2">
      <c r="E33" s="1" t="s">
        <v>69</v>
      </c>
      <c r="F33" s="1">
        <v>7</v>
      </c>
      <c r="G33" s="1">
        <v>5</v>
      </c>
      <c r="H33" s="1"/>
      <c r="I33" s="1"/>
      <c r="J33" s="1"/>
      <c r="K33" s="1"/>
      <c r="L33" s="1"/>
      <c r="M33" s="1"/>
      <c r="N33" s="1"/>
    </row>
    <row r="34" spans="1:23" x14ac:dyDescent="0.2">
      <c r="E34" s="1" t="s">
        <v>99</v>
      </c>
      <c r="F34">
        <f>F31+F33</f>
        <v>89.952380952380949</v>
      </c>
      <c r="G34">
        <f t="shared" ref="G34:I34" si="8">G31+G33</f>
        <v>90.523809523809518</v>
      </c>
      <c r="H34" t="e">
        <f t="shared" si="8"/>
        <v>#DIV/0!</v>
      </c>
      <c r="I34" t="e">
        <f t="shared" si="8"/>
        <v>#DIV/0!</v>
      </c>
      <c r="J34" t="e">
        <f t="shared" ref="J34" si="9">J31+J33</f>
        <v>#DIV/0!</v>
      </c>
      <c r="K34">
        <f t="shared" ref="K34" si="10">K31+K33</f>
        <v>91.125</v>
      </c>
      <c r="L34" t="e">
        <f t="shared" ref="L34" si="11">L31+L33</f>
        <v>#DIV/0!</v>
      </c>
      <c r="M34" t="e">
        <f t="shared" ref="M34" si="12">M31+M33</f>
        <v>#DIV/0!</v>
      </c>
      <c r="N34" t="e">
        <f t="shared" ref="N34" si="13">N31+N33</f>
        <v>#DIV/0!</v>
      </c>
    </row>
    <row r="37" spans="1:23" x14ac:dyDescent="0.2">
      <c r="B37" s="1" t="s">
        <v>75</v>
      </c>
      <c r="C37" s="1" t="s">
        <v>77</v>
      </c>
      <c r="D37" s="1" t="s">
        <v>78</v>
      </c>
      <c r="E37" s="1" t="s">
        <v>79</v>
      </c>
      <c r="F37" s="1" t="s">
        <v>80</v>
      </c>
      <c r="G37" s="1" t="s">
        <v>81</v>
      </c>
      <c r="H37" s="1" t="s">
        <v>82</v>
      </c>
      <c r="I37" s="1" t="s">
        <v>83</v>
      </c>
      <c r="J37" s="1" t="s">
        <v>84</v>
      </c>
      <c r="K37" s="1" t="s">
        <v>85</v>
      </c>
      <c r="L37" s="1" t="s">
        <v>86</v>
      </c>
      <c r="M37" s="1" t="s">
        <v>87</v>
      </c>
      <c r="N37" s="1" t="s">
        <v>88</v>
      </c>
      <c r="O37" s="1" t="s">
        <v>89</v>
      </c>
      <c r="P37" s="1" t="s">
        <v>90</v>
      </c>
      <c r="Q37" s="1" t="s">
        <v>91</v>
      </c>
      <c r="R37" s="1" t="s">
        <v>92</v>
      </c>
      <c r="S37" s="1" t="s">
        <v>93</v>
      </c>
      <c r="T37" s="1" t="s">
        <v>94</v>
      </c>
      <c r="U37" s="1" t="s">
        <v>95</v>
      </c>
      <c r="V37" s="1" t="s">
        <v>96</v>
      </c>
      <c r="W37" s="1" t="s">
        <v>97</v>
      </c>
    </row>
    <row r="38" spans="1:23" x14ac:dyDescent="0.2">
      <c r="A38">
        <v>1</v>
      </c>
      <c r="B38">
        <v>12</v>
      </c>
      <c r="C38">
        <v>10</v>
      </c>
      <c r="D38">
        <v>9</v>
      </c>
      <c r="E38">
        <v>10</v>
      </c>
      <c r="F38">
        <v>11</v>
      </c>
      <c r="G38">
        <v>11</v>
      </c>
      <c r="H38">
        <v>12</v>
      </c>
      <c r="I38">
        <v>12</v>
      </c>
      <c r="J38">
        <v>10</v>
      </c>
      <c r="K38">
        <v>12</v>
      </c>
      <c r="L38">
        <v>11</v>
      </c>
      <c r="M38">
        <v>12</v>
      </c>
      <c r="N38">
        <v>11</v>
      </c>
      <c r="O38">
        <v>7</v>
      </c>
      <c r="P38">
        <v>12</v>
      </c>
      <c r="Q38">
        <v>11</v>
      </c>
      <c r="R38">
        <v>6</v>
      </c>
      <c r="S38">
        <v>12</v>
      </c>
      <c r="T38">
        <v>6</v>
      </c>
      <c r="U38">
        <v>11</v>
      </c>
      <c r="V38">
        <v>9</v>
      </c>
      <c r="W38">
        <v>0</v>
      </c>
    </row>
    <row r="39" spans="1:23" x14ac:dyDescent="0.2">
      <c r="A39">
        <v>2</v>
      </c>
      <c r="B39">
        <v>18</v>
      </c>
      <c r="C39">
        <v>18</v>
      </c>
      <c r="D39">
        <v>18</v>
      </c>
      <c r="E39">
        <v>18</v>
      </c>
      <c r="F39">
        <v>18</v>
      </c>
      <c r="G39">
        <v>14</v>
      </c>
      <c r="H39">
        <v>16</v>
      </c>
      <c r="I39">
        <v>16</v>
      </c>
      <c r="J39">
        <v>18</v>
      </c>
      <c r="K39">
        <v>18</v>
      </c>
      <c r="L39">
        <v>16</v>
      </c>
      <c r="M39">
        <v>18</v>
      </c>
      <c r="N39">
        <v>17</v>
      </c>
      <c r="O39">
        <v>18</v>
      </c>
      <c r="P39">
        <v>18</v>
      </c>
      <c r="Q39">
        <v>16</v>
      </c>
      <c r="R39">
        <v>14</v>
      </c>
      <c r="S39">
        <v>18</v>
      </c>
      <c r="T39">
        <v>14</v>
      </c>
      <c r="U39">
        <v>10</v>
      </c>
      <c r="V39">
        <v>6</v>
      </c>
      <c r="W39">
        <v>6</v>
      </c>
    </row>
    <row r="40" spans="1:23" x14ac:dyDescent="0.2">
      <c r="A40">
        <v>3</v>
      </c>
      <c r="B40">
        <v>8</v>
      </c>
      <c r="C40">
        <v>6</v>
      </c>
      <c r="D40">
        <v>6</v>
      </c>
      <c r="E40">
        <v>7</v>
      </c>
      <c r="F40">
        <v>8</v>
      </c>
      <c r="G40">
        <v>6</v>
      </c>
      <c r="H40">
        <v>7</v>
      </c>
      <c r="I40">
        <v>6</v>
      </c>
      <c r="J40">
        <v>4</v>
      </c>
      <c r="K40">
        <v>7</v>
      </c>
      <c r="L40">
        <v>5</v>
      </c>
      <c r="M40">
        <v>8</v>
      </c>
      <c r="N40">
        <v>8</v>
      </c>
      <c r="O40">
        <v>6</v>
      </c>
      <c r="P40">
        <v>8</v>
      </c>
      <c r="Q40">
        <v>7</v>
      </c>
      <c r="R40">
        <v>7</v>
      </c>
      <c r="S40">
        <v>7</v>
      </c>
      <c r="T40">
        <v>5</v>
      </c>
      <c r="U40">
        <v>7</v>
      </c>
      <c r="V40">
        <v>8</v>
      </c>
      <c r="W40">
        <v>3</v>
      </c>
    </row>
    <row r="41" spans="1:23" x14ac:dyDescent="0.2">
      <c r="A41">
        <v>4</v>
      </c>
      <c r="B41">
        <v>6</v>
      </c>
      <c r="C41">
        <v>6</v>
      </c>
      <c r="D41">
        <v>1</v>
      </c>
      <c r="E41">
        <v>6</v>
      </c>
      <c r="F41">
        <v>6</v>
      </c>
      <c r="G41">
        <v>3</v>
      </c>
      <c r="H41">
        <v>6</v>
      </c>
      <c r="I41">
        <v>6</v>
      </c>
      <c r="J41">
        <v>6</v>
      </c>
      <c r="K41">
        <v>2</v>
      </c>
      <c r="L41">
        <v>6</v>
      </c>
      <c r="M41">
        <v>6</v>
      </c>
      <c r="N41">
        <v>4</v>
      </c>
      <c r="O41">
        <v>6</v>
      </c>
      <c r="P41">
        <v>6</v>
      </c>
      <c r="Q41">
        <v>4</v>
      </c>
      <c r="R41">
        <v>4</v>
      </c>
      <c r="S41">
        <v>6</v>
      </c>
      <c r="T41">
        <v>5</v>
      </c>
      <c r="U41">
        <v>6</v>
      </c>
      <c r="V41">
        <v>6</v>
      </c>
      <c r="W41">
        <v>1</v>
      </c>
    </row>
    <row r="42" spans="1:23" x14ac:dyDescent="0.2">
      <c r="A42">
        <v>5</v>
      </c>
      <c r="B42">
        <v>6</v>
      </c>
      <c r="C42">
        <v>6</v>
      </c>
      <c r="D42">
        <v>6</v>
      </c>
      <c r="E42">
        <v>6</v>
      </c>
      <c r="F42">
        <v>6</v>
      </c>
      <c r="G42">
        <v>1</v>
      </c>
      <c r="H42">
        <v>5</v>
      </c>
      <c r="I42">
        <v>6</v>
      </c>
      <c r="J42">
        <v>5</v>
      </c>
      <c r="K42">
        <v>6</v>
      </c>
      <c r="L42">
        <v>5</v>
      </c>
      <c r="M42">
        <v>6</v>
      </c>
      <c r="N42">
        <v>0</v>
      </c>
      <c r="O42">
        <v>5</v>
      </c>
      <c r="P42">
        <v>6</v>
      </c>
      <c r="Q42">
        <v>6</v>
      </c>
      <c r="R42">
        <v>6</v>
      </c>
      <c r="S42">
        <v>5</v>
      </c>
      <c r="T42">
        <v>6</v>
      </c>
      <c r="U42">
        <v>6</v>
      </c>
      <c r="V42">
        <v>6</v>
      </c>
      <c r="W42">
        <v>0</v>
      </c>
    </row>
    <row r="43" spans="1:23" x14ac:dyDescent="0.2">
      <c r="A43">
        <v>6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4</v>
      </c>
      <c r="J43">
        <v>4</v>
      </c>
      <c r="K43">
        <v>5</v>
      </c>
      <c r="L43">
        <v>5</v>
      </c>
      <c r="M43">
        <v>5</v>
      </c>
      <c r="N43">
        <v>4</v>
      </c>
      <c r="O43">
        <v>4</v>
      </c>
      <c r="P43">
        <v>5</v>
      </c>
      <c r="Q43">
        <v>5</v>
      </c>
      <c r="R43">
        <v>3</v>
      </c>
      <c r="S43">
        <v>5</v>
      </c>
      <c r="T43">
        <v>5</v>
      </c>
      <c r="U43">
        <v>5</v>
      </c>
      <c r="V43">
        <v>3</v>
      </c>
      <c r="W43">
        <v>1</v>
      </c>
    </row>
    <row r="44" spans="1:23" x14ac:dyDescent="0.2">
      <c r="A44">
        <v>7</v>
      </c>
      <c r="B44">
        <v>8</v>
      </c>
      <c r="C44">
        <v>8</v>
      </c>
      <c r="D44">
        <v>7</v>
      </c>
      <c r="E44">
        <v>8</v>
      </c>
      <c r="F44">
        <v>8</v>
      </c>
      <c r="G44">
        <v>8</v>
      </c>
      <c r="H44">
        <v>8</v>
      </c>
      <c r="I44">
        <v>8</v>
      </c>
      <c r="J44">
        <v>8</v>
      </c>
      <c r="K44">
        <v>7</v>
      </c>
      <c r="L44">
        <v>8</v>
      </c>
      <c r="M44">
        <v>8</v>
      </c>
      <c r="N44">
        <v>4</v>
      </c>
      <c r="O44">
        <v>5</v>
      </c>
      <c r="P44">
        <v>8</v>
      </c>
      <c r="Q44">
        <v>8</v>
      </c>
      <c r="R44">
        <v>5</v>
      </c>
      <c r="S44">
        <v>7</v>
      </c>
      <c r="T44">
        <v>8</v>
      </c>
      <c r="U44">
        <v>6</v>
      </c>
      <c r="V44">
        <v>8</v>
      </c>
      <c r="W44">
        <v>1</v>
      </c>
    </row>
    <row r="45" spans="1:23" x14ac:dyDescent="0.2">
      <c r="A45">
        <v>8</v>
      </c>
      <c r="B45">
        <v>4</v>
      </c>
      <c r="C45">
        <v>4</v>
      </c>
      <c r="D45">
        <v>2</v>
      </c>
      <c r="E45">
        <v>4</v>
      </c>
      <c r="F45">
        <v>3</v>
      </c>
      <c r="G45">
        <v>1</v>
      </c>
      <c r="H45">
        <v>4</v>
      </c>
      <c r="I45">
        <v>3</v>
      </c>
      <c r="J45">
        <v>3</v>
      </c>
      <c r="K45">
        <v>4</v>
      </c>
      <c r="L45">
        <v>4</v>
      </c>
      <c r="M45">
        <v>4</v>
      </c>
      <c r="N45">
        <v>3</v>
      </c>
      <c r="O45">
        <v>2</v>
      </c>
      <c r="P45">
        <v>4</v>
      </c>
      <c r="Q45">
        <v>4</v>
      </c>
      <c r="R45">
        <v>3</v>
      </c>
      <c r="S45">
        <v>3</v>
      </c>
      <c r="T45">
        <v>4</v>
      </c>
      <c r="U45">
        <v>2</v>
      </c>
      <c r="V45">
        <v>0</v>
      </c>
      <c r="W45">
        <v>0</v>
      </c>
    </row>
    <row r="46" spans="1:23" x14ac:dyDescent="0.2">
      <c r="A46">
        <v>9</v>
      </c>
      <c r="B46">
        <v>4</v>
      </c>
      <c r="C46">
        <v>4</v>
      </c>
      <c r="D46">
        <v>1</v>
      </c>
      <c r="E46">
        <v>4</v>
      </c>
      <c r="F46">
        <v>4</v>
      </c>
      <c r="G46">
        <v>1</v>
      </c>
      <c r="H46">
        <v>3</v>
      </c>
      <c r="I46">
        <v>4</v>
      </c>
      <c r="J46">
        <v>3</v>
      </c>
      <c r="K46">
        <v>2</v>
      </c>
      <c r="L46">
        <v>4</v>
      </c>
      <c r="M46">
        <v>4</v>
      </c>
      <c r="N46">
        <v>0</v>
      </c>
      <c r="O46">
        <v>4</v>
      </c>
      <c r="P46">
        <v>4</v>
      </c>
      <c r="Q46">
        <v>4</v>
      </c>
      <c r="R46">
        <v>1</v>
      </c>
      <c r="S46">
        <v>4</v>
      </c>
      <c r="T46">
        <v>4</v>
      </c>
      <c r="U46">
        <v>1</v>
      </c>
      <c r="V46">
        <v>2</v>
      </c>
      <c r="W46">
        <v>0</v>
      </c>
    </row>
    <row r="47" spans="1:23" x14ac:dyDescent="0.2">
      <c r="A47">
        <v>10</v>
      </c>
      <c r="B47">
        <v>6</v>
      </c>
      <c r="C47">
        <v>6</v>
      </c>
      <c r="D47">
        <v>5</v>
      </c>
      <c r="E47">
        <v>6</v>
      </c>
      <c r="F47">
        <v>6</v>
      </c>
      <c r="G47">
        <v>4</v>
      </c>
      <c r="H47">
        <v>6</v>
      </c>
      <c r="I47">
        <v>6</v>
      </c>
      <c r="J47">
        <v>5</v>
      </c>
      <c r="K47">
        <v>6</v>
      </c>
      <c r="L47">
        <v>6</v>
      </c>
      <c r="M47">
        <v>6</v>
      </c>
      <c r="N47">
        <v>0</v>
      </c>
      <c r="O47">
        <v>5</v>
      </c>
      <c r="P47">
        <v>6</v>
      </c>
      <c r="Q47">
        <v>6</v>
      </c>
      <c r="R47">
        <v>6</v>
      </c>
      <c r="S47">
        <v>6</v>
      </c>
      <c r="T47">
        <v>6</v>
      </c>
      <c r="U47">
        <v>4</v>
      </c>
      <c r="V47">
        <v>6</v>
      </c>
      <c r="W47">
        <v>1</v>
      </c>
    </row>
    <row r="48" spans="1:23" x14ac:dyDescent="0.2">
      <c r="A48">
        <v>11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0</v>
      </c>
      <c r="O48">
        <v>4</v>
      </c>
      <c r="P48">
        <v>4</v>
      </c>
      <c r="Q48">
        <v>4</v>
      </c>
      <c r="R48">
        <v>3</v>
      </c>
      <c r="S48">
        <v>3</v>
      </c>
      <c r="T48">
        <v>4</v>
      </c>
      <c r="U48">
        <v>4</v>
      </c>
      <c r="V48">
        <v>0</v>
      </c>
      <c r="W48">
        <v>4</v>
      </c>
    </row>
    <row r="49" spans="1:23" x14ac:dyDescent="0.2">
      <c r="A49">
        <v>12</v>
      </c>
      <c r="B49">
        <v>4</v>
      </c>
      <c r="C49">
        <v>1</v>
      </c>
      <c r="D49">
        <v>4</v>
      </c>
      <c r="E49">
        <v>4</v>
      </c>
      <c r="F49">
        <v>4</v>
      </c>
      <c r="G49">
        <v>3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0</v>
      </c>
      <c r="O49">
        <v>2</v>
      </c>
      <c r="P49">
        <v>4</v>
      </c>
      <c r="Q49">
        <v>4</v>
      </c>
      <c r="R49">
        <v>2</v>
      </c>
      <c r="S49">
        <v>1</v>
      </c>
      <c r="T49">
        <v>4</v>
      </c>
      <c r="U49">
        <v>4</v>
      </c>
      <c r="V49">
        <v>3</v>
      </c>
      <c r="W49">
        <v>2</v>
      </c>
    </row>
    <row r="50" spans="1:23" x14ac:dyDescent="0.2">
      <c r="A50">
        <v>13</v>
      </c>
      <c r="B50">
        <v>6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  <c r="J50">
        <v>5</v>
      </c>
      <c r="K50">
        <v>6</v>
      </c>
      <c r="L50">
        <v>6</v>
      </c>
      <c r="M50">
        <v>6</v>
      </c>
      <c r="N50">
        <v>0</v>
      </c>
      <c r="O50">
        <v>5</v>
      </c>
      <c r="P50">
        <v>6</v>
      </c>
      <c r="Q50">
        <v>6</v>
      </c>
      <c r="R50">
        <v>1</v>
      </c>
      <c r="S50">
        <v>5</v>
      </c>
      <c r="T50">
        <v>6</v>
      </c>
      <c r="U50">
        <v>6</v>
      </c>
      <c r="V50">
        <v>6</v>
      </c>
      <c r="W50">
        <v>0</v>
      </c>
    </row>
    <row r="51" spans="1:23" x14ac:dyDescent="0.2">
      <c r="A51">
        <v>14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4</v>
      </c>
      <c r="I51">
        <v>5</v>
      </c>
      <c r="J51">
        <v>4</v>
      </c>
      <c r="K51">
        <v>5</v>
      </c>
      <c r="L51">
        <v>5</v>
      </c>
      <c r="M51">
        <v>5</v>
      </c>
      <c r="N51">
        <v>0</v>
      </c>
      <c r="O51">
        <v>4</v>
      </c>
      <c r="P51">
        <v>5</v>
      </c>
      <c r="Q51">
        <v>5</v>
      </c>
      <c r="R51">
        <v>5</v>
      </c>
      <c r="S51">
        <v>4</v>
      </c>
      <c r="T51">
        <v>5</v>
      </c>
      <c r="U51">
        <v>3</v>
      </c>
      <c r="V51">
        <v>5</v>
      </c>
      <c r="W51">
        <v>1</v>
      </c>
    </row>
    <row r="52" spans="1:23" x14ac:dyDescent="0.2">
      <c r="A52">
        <v>15</v>
      </c>
      <c r="B52">
        <v>4</v>
      </c>
      <c r="C52">
        <v>4</v>
      </c>
      <c r="D52">
        <v>2</v>
      </c>
      <c r="E52">
        <v>4</v>
      </c>
      <c r="F52">
        <v>4</v>
      </c>
      <c r="G52">
        <v>4</v>
      </c>
      <c r="H52">
        <v>4</v>
      </c>
      <c r="I52">
        <v>4</v>
      </c>
      <c r="J52">
        <v>2</v>
      </c>
      <c r="K52">
        <v>4</v>
      </c>
      <c r="L52">
        <v>4</v>
      </c>
      <c r="M52">
        <v>4</v>
      </c>
      <c r="N52">
        <v>0</v>
      </c>
      <c r="O52">
        <v>1</v>
      </c>
      <c r="P52">
        <v>4</v>
      </c>
      <c r="Q52">
        <v>4</v>
      </c>
      <c r="R52">
        <v>4</v>
      </c>
      <c r="S52">
        <v>4</v>
      </c>
      <c r="T52">
        <v>4</v>
      </c>
      <c r="U52">
        <v>3</v>
      </c>
      <c r="V52">
        <v>4</v>
      </c>
      <c r="W52">
        <v>0</v>
      </c>
    </row>
    <row r="53" spans="1:23" x14ac:dyDescent="0.2">
      <c r="A53" s="1" t="s">
        <v>76</v>
      </c>
      <c r="B53">
        <f t="shared" ref="B53:W53" si="14">SUM(B38:B52)</f>
        <v>100</v>
      </c>
      <c r="C53">
        <f t="shared" si="14"/>
        <v>93</v>
      </c>
      <c r="D53">
        <f t="shared" si="14"/>
        <v>81</v>
      </c>
      <c r="E53">
        <f t="shared" si="14"/>
        <v>97</v>
      </c>
      <c r="F53">
        <f t="shared" si="14"/>
        <v>98</v>
      </c>
      <c r="G53">
        <f t="shared" si="14"/>
        <v>76</v>
      </c>
      <c r="H53">
        <f t="shared" si="14"/>
        <v>94</v>
      </c>
      <c r="I53">
        <f t="shared" si="14"/>
        <v>94</v>
      </c>
      <c r="J53">
        <f t="shared" si="14"/>
        <v>85</v>
      </c>
      <c r="K53">
        <f t="shared" si="14"/>
        <v>92</v>
      </c>
      <c r="L53">
        <f t="shared" si="14"/>
        <v>93</v>
      </c>
      <c r="M53">
        <f t="shared" si="14"/>
        <v>100</v>
      </c>
      <c r="N53">
        <f t="shared" si="14"/>
        <v>51</v>
      </c>
      <c r="O53">
        <f t="shared" si="14"/>
        <v>78</v>
      </c>
      <c r="P53">
        <f t="shared" si="14"/>
        <v>100</v>
      </c>
      <c r="Q53">
        <f t="shared" si="14"/>
        <v>94</v>
      </c>
      <c r="R53">
        <f t="shared" si="14"/>
        <v>70</v>
      </c>
      <c r="S53">
        <f t="shared" si="14"/>
        <v>90</v>
      </c>
      <c r="T53">
        <f t="shared" si="14"/>
        <v>86</v>
      </c>
      <c r="U53">
        <f t="shared" si="14"/>
        <v>78</v>
      </c>
      <c r="V53">
        <f t="shared" si="14"/>
        <v>72</v>
      </c>
      <c r="W53">
        <f t="shared" si="14"/>
        <v>20</v>
      </c>
    </row>
    <row r="55" spans="1:23" x14ac:dyDescent="0.2">
      <c r="B55" s="1" t="s">
        <v>62</v>
      </c>
      <c r="C55" s="1" t="s">
        <v>77</v>
      </c>
      <c r="D55" s="1" t="s">
        <v>78</v>
      </c>
      <c r="E55" s="1" t="s">
        <v>79</v>
      </c>
      <c r="F55" s="1" t="s">
        <v>80</v>
      </c>
      <c r="G55" s="1" t="s">
        <v>81</v>
      </c>
      <c r="H55" s="1" t="s">
        <v>82</v>
      </c>
      <c r="I55" s="1" t="s">
        <v>83</v>
      </c>
      <c r="J55" s="1" t="s">
        <v>84</v>
      </c>
      <c r="K55" s="1" t="s">
        <v>85</v>
      </c>
      <c r="L55" s="1" t="s">
        <v>86</v>
      </c>
      <c r="M55" s="1" t="s">
        <v>87</v>
      </c>
      <c r="N55" s="1" t="s">
        <v>88</v>
      </c>
      <c r="O55" s="1" t="s">
        <v>89</v>
      </c>
      <c r="P55" s="1" t="s">
        <v>90</v>
      </c>
      <c r="Q55" s="1" t="s">
        <v>91</v>
      </c>
      <c r="R55" s="1" t="s">
        <v>92</v>
      </c>
      <c r="S55" s="1" t="s">
        <v>93</v>
      </c>
      <c r="T55" s="1" t="s">
        <v>94</v>
      </c>
      <c r="U55" s="1" t="s">
        <v>95</v>
      </c>
      <c r="V55" s="1" t="s">
        <v>96</v>
      </c>
      <c r="W55" s="1" t="s">
        <v>97</v>
      </c>
    </row>
    <row r="56" spans="1:23" x14ac:dyDescent="0.2">
      <c r="A56">
        <v>1</v>
      </c>
      <c r="B56">
        <v>10</v>
      </c>
      <c r="C56">
        <v>10</v>
      </c>
      <c r="D56">
        <v>10</v>
      </c>
      <c r="E56">
        <v>10</v>
      </c>
      <c r="F56">
        <v>10</v>
      </c>
      <c r="G56">
        <v>6</v>
      </c>
      <c r="H56">
        <v>9</v>
      </c>
      <c r="I56">
        <v>10</v>
      </c>
      <c r="J56">
        <v>9</v>
      </c>
      <c r="K56">
        <v>10</v>
      </c>
      <c r="L56">
        <v>9</v>
      </c>
      <c r="M56">
        <v>10</v>
      </c>
      <c r="N56">
        <v>7</v>
      </c>
      <c r="O56">
        <v>10</v>
      </c>
      <c r="P56">
        <v>10</v>
      </c>
      <c r="Q56">
        <v>10</v>
      </c>
      <c r="R56">
        <v>4</v>
      </c>
      <c r="S56">
        <v>10</v>
      </c>
      <c r="T56">
        <v>10</v>
      </c>
      <c r="U56">
        <v>6</v>
      </c>
      <c r="V56">
        <v>7</v>
      </c>
      <c r="W56">
        <v>0</v>
      </c>
    </row>
    <row r="57" spans="1:23" x14ac:dyDescent="0.2">
      <c r="A57">
        <v>2</v>
      </c>
      <c r="B57">
        <v>8</v>
      </c>
      <c r="C57">
        <v>8</v>
      </c>
      <c r="D57">
        <v>8</v>
      </c>
      <c r="E57">
        <v>7</v>
      </c>
      <c r="F57">
        <v>8</v>
      </c>
      <c r="G57">
        <v>8</v>
      </c>
      <c r="H57">
        <v>6</v>
      </c>
      <c r="I57">
        <v>8</v>
      </c>
      <c r="J57">
        <v>8</v>
      </c>
      <c r="K57">
        <v>8</v>
      </c>
      <c r="L57">
        <v>6</v>
      </c>
      <c r="M57">
        <v>5</v>
      </c>
      <c r="N57">
        <v>6</v>
      </c>
      <c r="O57">
        <v>8</v>
      </c>
      <c r="P57">
        <v>6</v>
      </c>
      <c r="Q57">
        <v>8</v>
      </c>
      <c r="R57">
        <v>6</v>
      </c>
      <c r="S57">
        <v>8</v>
      </c>
      <c r="T57">
        <v>8</v>
      </c>
      <c r="U57">
        <v>8</v>
      </c>
      <c r="V57">
        <v>8</v>
      </c>
      <c r="W57">
        <v>4</v>
      </c>
    </row>
    <row r="58" spans="1:23" x14ac:dyDescent="0.2">
      <c r="A58">
        <v>3</v>
      </c>
      <c r="B58">
        <v>16</v>
      </c>
      <c r="C58">
        <v>16</v>
      </c>
      <c r="D58">
        <v>15</v>
      </c>
      <c r="E58">
        <v>16</v>
      </c>
      <c r="F58">
        <v>16</v>
      </c>
      <c r="G58">
        <v>16</v>
      </c>
      <c r="H58">
        <v>16</v>
      </c>
      <c r="I58">
        <v>16</v>
      </c>
      <c r="J58">
        <v>15</v>
      </c>
      <c r="K58">
        <v>16</v>
      </c>
      <c r="L58">
        <v>16</v>
      </c>
      <c r="M58">
        <v>16</v>
      </c>
      <c r="N58">
        <v>15</v>
      </c>
      <c r="O58">
        <v>16</v>
      </c>
      <c r="P58">
        <v>16</v>
      </c>
      <c r="Q58">
        <v>16</v>
      </c>
      <c r="R58">
        <v>12</v>
      </c>
      <c r="S58">
        <v>15</v>
      </c>
      <c r="T58">
        <v>16</v>
      </c>
      <c r="U58">
        <v>13</v>
      </c>
      <c r="V58">
        <v>16</v>
      </c>
      <c r="W58">
        <v>1</v>
      </c>
    </row>
    <row r="59" spans="1:23" x14ac:dyDescent="0.2">
      <c r="A59">
        <v>4</v>
      </c>
      <c r="B59">
        <v>6</v>
      </c>
      <c r="C59">
        <v>6</v>
      </c>
      <c r="D59">
        <v>6</v>
      </c>
      <c r="E59">
        <v>6</v>
      </c>
      <c r="F59">
        <v>5</v>
      </c>
      <c r="G59">
        <v>4</v>
      </c>
      <c r="H59">
        <v>6</v>
      </c>
      <c r="I59">
        <v>6</v>
      </c>
      <c r="J59">
        <v>4</v>
      </c>
      <c r="K59">
        <v>6</v>
      </c>
      <c r="L59">
        <v>6</v>
      </c>
      <c r="M59">
        <v>6</v>
      </c>
      <c r="N59">
        <v>6</v>
      </c>
      <c r="O59">
        <v>6</v>
      </c>
      <c r="P59">
        <v>6</v>
      </c>
      <c r="Q59">
        <v>6</v>
      </c>
      <c r="R59">
        <v>4</v>
      </c>
      <c r="S59">
        <v>6</v>
      </c>
      <c r="T59">
        <v>6</v>
      </c>
      <c r="U59">
        <v>5</v>
      </c>
      <c r="V59">
        <v>6</v>
      </c>
      <c r="W59">
        <v>0</v>
      </c>
    </row>
    <row r="60" spans="1:23" x14ac:dyDescent="0.2">
      <c r="A60">
        <v>5</v>
      </c>
      <c r="B60">
        <v>8</v>
      </c>
      <c r="C60">
        <v>8</v>
      </c>
      <c r="D60">
        <v>8</v>
      </c>
      <c r="E60">
        <v>8</v>
      </c>
      <c r="F60">
        <v>8</v>
      </c>
      <c r="G60">
        <v>7</v>
      </c>
      <c r="H60">
        <v>8</v>
      </c>
      <c r="I60">
        <v>8</v>
      </c>
      <c r="J60">
        <v>8</v>
      </c>
      <c r="K60">
        <v>8</v>
      </c>
      <c r="L60">
        <v>8</v>
      </c>
      <c r="M60">
        <v>8</v>
      </c>
      <c r="N60">
        <v>7</v>
      </c>
      <c r="O60">
        <v>8</v>
      </c>
      <c r="P60">
        <v>7</v>
      </c>
      <c r="Q60">
        <v>8</v>
      </c>
      <c r="R60">
        <v>6</v>
      </c>
      <c r="S60">
        <v>8</v>
      </c>
      <c r="T60">
        <v>7</v>
      </c>
      <c r="U60">
        <v>8</v>
      </c>
      <c r="V60">
        <v>8</v>
      </c>
      <c r="W60">
        <v>0</v>
      </c>
    </row>
    <row r="61" spans="1:23" x14ac:dyDescent="0.2">
      <c r="A61">
        <v>6</v>
      </c>
      <c r="B61">
        <v>4</v>
      </c>
      <c r="C61">
        <v>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3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2</v>
      </c>
      <c r="U61">
        <v>4</v>
      </c>
      <c r="V61">
        <v>4</v>
      </c>
      <c r="W61">
        <v>3</v>
      </c>
    </row>
    <row r="62" spans="1:23" x14ac:dyDescent="0.2">
      <c r="A62">
        <v>7</v>
      </c>
      <c r="B62">
        <v>8</v>
      </c>
      <c r="C62">
        <v>7</v>
      </c>
      <c r="D62">
        <v>6</v>
      </c>
      <c r="E62">
        <v>8</v>
      </c>
      <c r="F62">
        <v>8</v>
      </c>
      <c r="G62">
        <v>6</v>
      </c>
      <c r="H62">
        <v>5</v>
      </c>
      <c r="I62">
        <v>8</v>
      </c>
      <c r="J62">
        <v>6</v>
      </c>
      <c r="K62">
        <v>8</v>
      </c>
      <c r="L62">
        <v>8</v>
      </c>
      <c r="M62">
        <v>7</v>
      </c>
      <c r="N62">
        <v>4</v>
      </c>
      <c r="O62">
        <v>5</v>
      </c>
      <c r="P62">
        <v>8</v>
      </c>
      <c r="Q62">
        <v>8</v>
      </c>
      <c r="R62">
        <v>5</v>
      </c>
      <c r="S62">
        <v>4</v>
      </c>
      <c r="T62">
        <v>6</v>
      </c>
      <c r="U62">
        <v>3</v>
      </c>
      <c r="V62">
        <v>6</v>
      </c>
      <c r="W62">
        <v>1</v>
      </c>
    </row>
    <row r="63" spans="1:23" x14ac:dyDescent="0.2">
      <c r="A63">
        <v>8</v>
      </c>
      <c r="B63">
        <v>3</v>
      </c>
      <c r="C63">
        <v>2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1</v>
      </c>
      <c r="N63">
        <v>1</v>
      </c>
      <c r="O63">
        <v>1</v>
      </c>
      <c r="P63">
        <v>3</v>
      </c>
      <c r="Q63">
        <v>3</v>
      </c>
      <c r="R63">
        <v>3</v>
      </c>
      <c r="S63">
        <v>2</v>
      </c>
      <c r="T63">
        <v>2</v>
      </c>
      <c r="U63">
        <v>3</v>
      </c>
      <c r="V63">
        <v>3</v>
      </c>
      <c r="W63">
        <v>1</v>
      </c>
    </row>
    <row r="64" spans="1:23" x14ac:dyDescent="0.2">
      <c r="A64">
        <v>9</v>
      </c>
      <c r="B64">
        <v>5</v>
      </c>
      <c r="C64">
        <v>3</v>
      </c>
      <c r="D64">
        <v>4</v>
      </c>
      <c r="E64">
        <v>4</v>
      </c>
      <c r="F64">
        <v>5</v>
      </c>
      <c r="G64">
        <v>2</v>
      </c>
      <c r="H64">
        <v>4</v>
      </c>
      <c r="I64">
        <v>5</v>
      </c>
      <c r="J64">
        <v>5</v>
      </c>
      <c r="K64">
        <v>5</v>
      </c>
      <c r="L64">
        <v>5</v>
      </c>
      <c r="M64">
        <v>3</v>
      </c>
      <c r="N64">
        <v>5</v>
      </c>
      <c r="O64">
        <v>4</v>
      </c>
      <c r="P64">
        <v>5</v>
      </c>
      <c r="Q64">
        <v>5</v>
      </c>
      <c r="R64">
        <v>3</v>
      </c>
      <c r="S64">
        <v>4</v>
      </c>
      <c r="T64">
        <v>5</v>
      </c>
      <c r="U64">
        <v>4</v>
      </c>
      <c r="V64">
        <v>2</v>
      </c>
      <c r="W64">
        <v>1</v>
      </c>
    </row>
    <row r="65" spans="1:23" x14ac:dyDescent="0.2">
      <c r="A65">
        <v>10</v>
      </c>
      <c r="B65">
        <v>8</v>
      </c>
      <c r="C65">
        <v>8</v>
      </c>
      <c r="D65">
        <v>6</v>
      </c>
      <c r="E65">
        <v>8</v>
      </c>
      <c r="F65">
        <v>8</v>
      </c>
      <c r="G65">
        <v>6</v>
      </c>
      <c r="H65">
        <v>6</v>
      </c>
      <c r="I65">
        <v>8</v>
      </c>
      <c r="J65">
        <v>7</v>
      </c>
      <c r="K65">
        <v>7</v>
      </c>
      <c r="L65">
        <v>8</v>
      </c>
      <c r="M65">
        <v>7</v>
      </c>
      <c r="N65">
        <v>6</v>
      </c>
      <c r="O65">
        <v>5</v>
      </c>
      <c r="P65">
        <v>8</v>
      </c>
      <c r="Q65">
        <v>8</v>
      </c>
      <c r="R65">
        <v>4</v>
      </c>
      <c r="S65">
        <v>3</v>
      </c>
      <c r="T65">
        <v>8</v>
      </c>
      <c r="U65">
        <v>6</v>
      </c>
      <c r="V65">
        <v>3</v>
      </c>
      <c r="W65">
        <v>1</v>
      </c>
    </row>
    <row r="66" spans="1:23" x14ac:dyDescent="0.2">
      <c r="A66">
        <v>11</v>
      </c>
      <c r="B66">
        <v>8</v>
      </c>
      <c r="C66">
        <v>8</v>
      </c>
      <c r="D66">
        <v>7</v>
      </c>
      <c r="E66">
        <v>8</v>
      </c>
      <c r="F66">
        <v>8</v>
      </c>
      <c r="G66">
        <v>8</v>
      </c>
      <c r="H66">
        <v>8</v>
      </c>
      <c r="I66">
        <v>8</v>
      </c>
      <c r="J66">
        <v>8</v>
      </c>
      <c r="K66">
        <v>6</v>
      </c>
      <c r="L66">
        <v>8</v>
      </c>
      <c r="M66">
        <v>8</v>
      </c>
      <c r="N66">
        <v>4</v>
      </c>
      <c r="O66">
        <v>8</v>
      </c>
      <c r="P66">
        <v>8</v>
      </c>
      <c r="Q66">
        <v>8</v>
      </c>
      <c r="R66">
        <v>5</v>
      </c>
      <c r="S66">
        <v>5</v>
      </c>
      <c r="T66">
        <v>8</v>
      </c>
      <c r="U66">
        <v>7</v>
      </c>
      <c r="V66">
        <v>8</v>
      </c>
      <c r="W66">
        <v>0</v>
      </c>
    </row>
    <row r="67" spans="1:23" x14ac:dyDescent="0.2">
      <c r="A67">
        <v>12</v>
      </c>
      <c r="B67">
        <v>4</v>
      </c>
      <c r="C67">
        <v>4</v>
      </c>
      <c r="D67">
        <v>2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3</v>
      </c>
      <c r="N67">
        <v>3</v>
      </c>
      <c r="O67">
        <v>4</v>
      </c>
      <c r="P67">
        <v>3</v>
      </c>
      <c r="Q67">
        <v>4</v>
      </c>
      <c r="R67">
        <v>4</v>
      </c>
      <c r="S67">
        <v>3</v>
      </c>
      <c r="T67">
        <v>4</v>
      </c>
      <c r="U67">
        <v>2</v>
      </c>
      <c r="V67">
        <v>4</v>
      </c>
      <c r="W67">
        <v>2</v>
      </c>
    </row>
    <row r="68" spans="1:23" x14ac:dyDescent="0.2">
      <c r="A68">
        <v>13</v>
      </c>
      <c r="B68">
        <v>6</v>
      </c>
      <c r="C68">
        <v>5</v>
      </c>
      <c r="D68">
        <v>4</v>
      </c>
      <c r="E68">
        <v>6</v>
      </c>
      <c r="F68">
        <v>6</v>
      </c>
      <c r="G68">
        <v>6</v>
      </c>
      <c r="H68">
        <v>6</v>
      </c>
      <c r="I68">
        <v>6</v>
      </c>
      <c r="J68">
        <v>3</v>
      </c>
      <c r="K68">
        <v>6</v>
      </c>
      <c r="L68">
        <v>6</v>
      </c>
      <c r="M68">
        <v>6</v>
      </c>
      <c r="N68">
        <v>2</v>
      </c>
      <c r="O68">
        <v>5</v>
      </c>
      <c r="P68">
        <v>6</v>
      </c>
      <c r="Q68">
        <v>6</v>
      </c>
      <c r="R68">
        <v>2</v>
      </c>
      <c r="S68">
        <v>4</v>
      </c>
      <c r="T68">
        <v>6</v>
      </c>
      <c r="U68">
        <v>6</v>
      </c>
      <c r="V68">
        <v>6</v>
      </c>
      <c r="W68">
        <v>1</v>
      </c>
    </row>
    <row r="69" spans="1:23" x14ac:dyDescent="0.2">
      <c r="A69">
        <v>14</v>
      </c>
      <c r="B69">
        <v>6</v>
      </c>
      <c r="C69">
        <v>4</v>
      </c>
      <c r="D69">
        <v>4</v>
      </c>
      <c r="E69">
        <v>6</v>
      </c>
      <c r="F69">
        <v>6</v>
      </c>
      <c r="G69">
        <v>6</v>
      </c>
      <c r="H69">
        <v>5</v>
      </c>
      <c r="I69">
        <v>6</v>
      </c>
      <c r="J69">
        <v>2</v>
      </c>
      <c r="K69">
        <v>4</v>
      </c>
      <c r="L69">
        <v>3</v>
      </c>
      <c r="M69">
        <v>6</v>
      </c>
      <c r="N69">
        <v>2</v>
      </c>
      <c r="O69">
        <v>4</v>
      </c>
      <c r="P69">
        <v>6</v>
      </c>
      <c r="Q69">
        <v>6</v>
      </c>
      <c r="R69">
        <v>3</v>
      </c>
      <c r="S69">
        <v>5</v>
      </c>
      <c r="T69">
        <v>5</v>
      </c>
      <c r="U69">
        <v>6</v>
      </c>
      <c r="V69">
        <v>5</v>
      </c>
      <c r="W69">
        <v>2</v>
      </c>
    </row>
    <row r="70" spans="1:23" x14ac:dyDescent="0.2">
      <c r="A70" s="1" t="s">
        <v>76</v>
      </c>
      <c r="B70">
        <f t="shared" ref="B70:W70" si="15">SUM(B56:B69)</f>
        <v>100</v>
      </c>
      <c r="C70">
        <f t="shared" si="15"/>
        <v>93</v>
      </c>
      <c r="D70">
        <f t="shared" si="15"/>
        <v>87</v>
      </c>
      <c r="E70">
        <f t="shared" si="15"/>
        <v>98</v>
      </c>
      <c r="F70">
        <f t="shared" si="15"/>
        <v>99</v>
      </c>
      <c r="G70">
        <f t="shared" si="15"/>
        <v>86</v>
      </c>
      <c r="H70">
        <f t="shared" si="15"/>
        <v>90</v>
      </c>
      <c r="I70">
        <f t="shared" si="15"/>
        <v>100</v>
      </c>
      <c r="J70">
        <f t="shared" si="15"/>
        <v>85</v>
      </c>
      <c r="K70">
        <f t="shared" si="15"/>
        <v>95</v>
      </c>
      <c r="L70">
        <f t="shared" si="15"/>
        <v>94</v>
      </c>
      <c r="M70">
        <f t="shared" si="15"/>
        <v>90</v>
      </c>
      <c r="N70">
        <f t="shared" si="15"/>
        <v>72</v>
      </c>
      <c r="O70">
        <f t="shared" si="15"/>
        <v>88</v>
      </c>
      <c r="P70">
        <f t="shared" si="15"/>
        <v>96</v>
      </c>
      <c r="Q70">
        <f t="shared" si="15"/>
        <v>100</v>
      </c>
      <c r="R70">
        <f t="shared" si="15"/>
        <v>65</v>
      </c>
      <c r="S70">
        <f t="shared" si="15"/>
        <v>81</v>
      </c>
      <c r="T70">
        <f t="shared" si="15"/>
        <v>93</v>
      </c>
      <c r="U70">
        <f t="shared" si="15"/>
        <v>81</v>
      </c>
      <c r="V70">
        <f t="shared" si="15"/>
        <v>86</v>
      </c>
      <c r="W70">
        <f t="shared" si="15"/>
        <v>17</v>
      </c>
    </row>
    <row r="72" spans="1:23" x14ac:dyDescent="0.2">
      <c r="P72">
        <v>96</v>
      </c>
      <c r="Q72">
        <v>100</v>
      </c>
      <c r="R72">
        <v>65</v>
      </c>
      <c r="S72">
        <v>81</v>
      </c>
      <c r="T72">
        <v>93</v>
      </c>
      <c r="U72">
        <v>81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Beeler</cp:lastModifiedBy>
  <dcterms:created xsi:type="dcterms:W3CDTF">2026-01-13T17:27:11Z</dcterms:created>
  <dcterms:modified xsi:type="dcterms:W3CDTF">2026-03-25T16:54:59Z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2026-01-13T12:04:52-05:00</dcterms:created>
  <dcterms:modified xsi:type="dcterms:W3CDTF">2026-01-13T12:04:52-05:00</dcterms:modified>
  <cp:revision>0</cp:revision>
</cp:coreProperties>
</file>