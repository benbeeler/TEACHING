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Nuclear_Fuel_Performance/NE533_Spring2026/"/>
    </mc:Choice>
  </mc:AlternateContent>
  <xr:revisionPtr revIDLastSave="0" documentId="13_ncr:1_{844E5C1A-2DAD-7A4B-82A1-EB58DDFF562B}" xr6:coauthVersionLast="47" xr6:coauthVersionMax="47" xr10:uidLastSave="{00000000-0000-0000-0000-000000000000}"/>
  <bookViews>
    <workbookView xWindow="1600" yWindow="500" windowWidth="27200" windowHeight="158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1" i="1" l="1"/>
  <c r="R31" i="1"/>
  <c r="O16" i="1"/>
  <c r="O28" i="1" l="1"/>
  <c r="O2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N27" i="1"/>
  <c r="P28" i="1"/>
  <c r="O5" i="1"/>
  <c r="J34" i="1"/>
  <c r="J31" i="1"/>
  <c r="O22" i="1"/>
  <c r="O6" i="1"/>
  <c r="O7" i="1"/>
  <c r="O8" i="1"/>
  <c r="O9" i="1"/>
  <c r="O10" i="1"/>
  <c r="O11" i="1"/>
  <c r="O12" i="1"/>
  <c r="O13" i="1"/>
  <c r="O14" i="1"/>
  <c r="O15" i="1"/>
  <c r="O17" i="1"/>
  <c r="O19" i="1"/>
  <c r="O20" i="1"/>
  <c r="O21" i="1"/>
  <c r="O23" i="1"/>
  <c r="I34" i="1"/>
  <c r="H31" i="1"/>
  <c r="H34" i="1" s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O29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K31" i="1"/>
  <c r="K34" i="1" s="1"/>
  <c r="L31" i="1"/>
  <c r="L34" i="1" s="1"/>
  <c r="M31" i="1"/>
  <c r="M34" i="1" s="1"/>
  <c r="N31" i="1"/>
  <c r="N34" i="1" s="1"/>
  <c r="J32" i="1"/>
  <c r="K32" i="1"/>
  <c r="L32" i="1"/>
  <c r="M32" i="1"/>
  <c r="N32" i="1"/>
  <c r="G31" i="1"/>
  <c r="G34" i="1" s="1"/>
  <c r="G32" i="1"/>
  <c r="H32" i="1"/>
  <c r="I32" i="1"/>
  <c r="F32" i="1"/>
  <c r="F31" i="1"/>
  <c r="F34" i="1" s="1"/>
  <c r="N2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B53" i="1"/>
  <c r="P20" i="1" l="1"/>
  <c r="P22" i="1"/>
  <c r="P23" i="1"/>
  <c r="P24" i="1"/>
  <c r="P7" i="1"/>
  <c r="P8" i="1"/>
  <c r="P10" i="1"/>
  <c r="P12" i="1"/>
  <c r="P14" i="1"/>
  <c r="P5" i="1"/>
  <c r="P21" i="1"/>
  <c r="P9" i="1"/>
  <c r="P17" i="1"/>
  <c r="P6" i="1"/>
  <c r="P11" i="1"/>
  <c r="P13" i="1"/>
  <c r="P15" i="1"/>
  <c r="P16" i="1"/>
  <c r="P19" i="1"/>
  <c r="P29" i="1"/>
</calcChain>
</file>

<file path=xl/sharedStrings.xml><?xml version="1.0" encoding="utf-8"?>
<sst xmlns="http://schemas.openxmlformats.org/spreadsheetml/2006/main" count="176" uniqueCount="104">
  <si>
    <t>First name</t>
  </si>
  <si>
    <t>Last name</t>
  </si>
  <si>
    <t>Email address</t>
  </si>
  <si>
    <t>Groups</t>
  </si>
  <si>
    <t>Ethan</t>
  </si>
  <si>
    <t>Arnold</t>
  </si>
  <si>
    <t>earnold@ncsu.edu</t>
  </si>
  <si>
    <t>Zach</t>
  </si>
  <si>
    <t>Bevans</t>
  </si>
  <si>
    <t>zbevans@ncsu.edu</t>
  </si>
  <si>
    <t>Crystal</t>
  </si>
  <si>
    <t>Bowers</t>
  </si>
  <si>
    <t>cbowers2@ncsu.edu</t>
  </si>
  <si>
    <t>Ingrid</t>
  </si>
  <si>
    <t>Caraballo-Lopez</t>
  </si>
  <si>
    <t>incaraba@ncsu.edu</t>
  </si>
  <si>
    <t>Wonkyo</t>
  </si>
  <si>
    <t>Cho</t>
  </si>
  <si>
    <t>wcho4@ncsu.edu</t>
  </si>
  <si>
    <t>Ivan</t>
  </si>
  <si>
    <t>Davis</t>
  </si>
  <si>
    <t>imdavis3@ncsu.edu</t>
  </si>
  <si>
    <t>Preston</t>
  </si>
  <si>
    <t>Decker-Fisk</t>
  </si>
  <si>
    <t>pdecker@ncsu.edu</t>
  </si>
  <si>
    <t>Jack</t>
  </si>
  <si>
    <t>Falcoz-Vigne</t>
  </si>
  <si>
    <t>jsfalcoz@ncsu.edu</t>
  </si>
  <si>
    <t>Md  Fahim</t>
  </si>
  <si>
    <t>Foraejee</t>
  </si>
  <si>
    <t>mforaej@ncsu.edu</t>
  </si>
  <si>
    <t>Steven</t>
  </si>
  <si>
    <t>Hood</t>
  </si>
  <si>
    <t>sthood2@ncsu.edu</t>
  </si>
  <si>
    <t>Aidan</t>
  </si>
  <si>
    <t>Masi</t>
  </si>
  <si>
    <t>abmasi@ncsu.edu</t>
  </si>
  <si>
    <t>Abby</t>
  </si>
  <si>
    <t>Mathias</t>
  </si>
  <si>
    <t>ahmathia@ncsu.edu</t>
  </si>
  <si>
    <t>Cameron</t>
  </si>
  <si>
    <t>Myers</t>
  </si>
  <si>
    <t>crmyers3@ncsu.edu</t>
  </si>
  <si>
    <t>Johnathan</t>
  </si>
  <si>
    <t>Pack</t>
  </si>
  <si>
    <t>jwpack2@ncsu.edu</t>
  </si>
  <si>
    <t>Fletcher</t>
  </si>
  <si>
    <t>Smith</t>
  </si>
  <si>
    <t>fsmith4@ncsu.edu</t>
  </si>
  <si>
    <t>Sweeney</t>
  </si>
  <si>
    <t>ztsweene@ncsu.edu</t>
  </si>
  <si>
    <t>Connor</t>
  </si>
  <si>
    <t>van Heugten</t>
  </si>
  <si>
    <t>crvanheu@ncsu.edu</t>
  </si>
  <si>
    <t>Max</t>
  </si>
  <si>
    <t>Velasco</t>
  </si>
  <si>
    <t>mjvelas2@ncsu.edu</t>
  </si>
  <si>
    <t>Blake</t>
  </si>
  <si>
    <t>Wilson</t>
  </si>
  <si>
    <t>bwilson9@ncsu.edu</t>
  </si>
  <si>
    <t>enwilso4@ncsu.edu</t>
  </si>
  <si>
    <t>Exam1</t>
  </si>
  <si>
    <t>Exam 2</t>
  </si>
  <si>
    <t>Exam 3</t>
  </si>
  <si>
    <t>Exam 4</t>
  </si>
  <si>
    <t>Presentation</t>
  </si>
  <si>
    <t>Moose 1</t>
  </si>
  <si>
    <t>Moose 2</t>
  </si>
  <si>
    <t>Moose 3</t>
  </si>
  <si>
    <t>Curve</t>
  </si>
  <si>
    <t>NE433</t>
  </si>
  <si>
    <t>NE533</t>
  </si>
  <si>
    <t>tjholman@ncsu.edu </t>
  </si>
  <si>
    <t>Tyler</t>
  </si>
  <si>
    <t>Holman</t>
  </si>
  <si>
    <t>Exam 1</t>
  </si>
  <si>
    <t>total</t>
  </si>
  <si>
    <t>Z Bevans</t>
  </si>
  <si>
    <t>W. Cho</t>
  </si>
  <si>
    <t>J. Falcoz-Vigne</t>
  </si>
  <si>
    <t>Fahim Foraejee</t>
  </si>
  <si>
    <t>S. Hood</t>
  </si>
  <si>
    <t>A. Masi</t>
  </si>
  <si>
    <t>A. Mathias</t>
  </si>
  <si>
    <t>J. Pack</t>
  </si>
  <si>
    <t>F. Smith</t>
  </si>
  <si>
    <t>C. van Heugten</t>
  </si>
  <si>
    <t>M. Velasco</t>
  </si>
  <si>
    <t>B. Wilson</t>
  </si>
  <si>
    <t>E. Wilson</t>
  </si>
  <si>
    <t>E. Arnold</t>
  </si>
  <si>
    <t>C. Bowers</t>
  </si>
  <si>
    <t>I. Caraballo-Lopez</t>
  </si>
  <si>
    <t>I. Davis</t>
  </si>
  <si>
    <t>P. Decker-Fish</t>
  </si>
  <si>
    <t>Z. Sweeney</t>
  </si>
  <si>
    <t>C. Myers</t>
  </si>
  <si>
    <t>T. Holman</t>
  </si>
  <si>
    <t>Average</t>
  </si>
  <si>
    <t>Avg + curve</t>
  </si>
  <si>
    <t>Stdev</t>
  </si>
  <si>
    <t>Grade</t>
  </si>
  <si>
    <t>Class Eval</t>
  </si>
  <si>
    <t>Survery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</si>
</sst>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4"/>
  <sheetViews>
    <sheetView tabSelected="1" workbookViewId="0">
      <selection activeCell="M16" sqref="M16"/>
    </sheetView>
  </sheetViews>
  <sheetFormatPr baseColWidth="10" defaultRowHeight="16" x14ac:dyDescent="0.2"/>
  <cols>
    <col min="10" max="10" width="12.5" customWidth="1"/>
  </cols>
  <sheetData>
    <row r="1" spans="1:19" x14ac:dyDescent="0.2">
      <c r="I1">
        <v>0.16</v>
      </c>
      <c r="M1">
        <v>0.1</v>
      </c>
    </row>
    <row r="2" spans="1:19" x14ac:dyDescent="0.2">
      <c r="F2">
        <v>0.16</v>
      </c>
      <c r="G2">
        <v>0.16</v>
      </c>
      <c r="H2">
        <v>0.16</v>
      </c>
      <c r="J2">
        <v>0.16</v>
      </c>
      <c r="K2">
        <v>0.05</v>
      </c>
      <c r="L2">
        <v>0.05</v>
      </c>
      <c r="N2">
        <f>SUM(F2:M2)</f>
        <v>0.7400000000000001</v>
      </c>
      <c r="O2" s="1" t="s">
        <v>101</v>
      </c>
    </row>
    <row r="3" spans="1:19" x14ac:dyDescent="0.2">
      <c r="B3" s="1" t="s">
        <v>71</v>
      </c>
      <c r="F3" s="1" t="s">
        <v>61</v>
      </c>
      <c r="G3" s="1" t="s">
        <v>62</v>
      </c>
      <c r="H3" s="1" t="s">
        <v>63</v>
      </c>
      <c r="I3" s="1" t="s">
        <v>64</v>
      </c>
      <c r="J3" s="1" t="s">
        <v>65</v>
      </c>
      <c r="K3" s="1" t="s">
        <v>66</v>
      </c>
      <c r="L3" s="1" t="s">
        <v>67</v>
      </c>
      <c r="M3" s="1" t="s">
        <v>68</v>
      </c>
      <c r="R3" s="1" t="s">
        <v>102</v>
      </c>
      <c r="S3" s="1" t="s">
        <v>103</v>
      </c>
    </row>
    <row r="4" spans="1:19" x14ac:dyDescent="0.2">
      <c r="B4" t="s">
        <v>0</v>
      </c>
      <c r="C4" t="s">
        <v>1</v>
      </c>
      <c r="D4" t="s">
        <v>2</v>
      </c>
      <c r="E4" t="s">
        <v>3</v>
      </c>
    </row>
    <row r="5" spans="1:19" x14ac:dyDescent="0.2">
      <c r="A5">
        <v>1</v>
      </c>
      <c r="B5" t="s">
        <v>7</v>
      </c>
      <c r="C5" t="s">
        <v>8</v>
      </c>
      <c r="D5" t="s">
        <v>9</v>
      </c>
      <c r="F5">
        <v>93</v>
      </c>
      <c r="G5">
        <v>93</v>
      </c>
      <c r="H5">
        <v>87</v>
      </c>
      <c r="J5">
        <v>98</v>
      </c>
      <c r="K5">
        <v>99</v>
      </c>
      <c r="L5">
        <v>98</v>
      </c>
      <c r="O5">
        <f>(F5+F$33)*F$2+G$2*(G5+G$33)+H$2*(H5+H$33)+I$2*(I5+I$33+R5+S5)+J$2*(J5+J$33)+K$2*(K5+K$33)+L$2*(L5+L$33)+M$2*(M5+M$33)</f>
        <v>72.09</v>
      </c>
      <c r="P5" s="2">
        <f>O5/$N$2</f>
        <v>97.418918918918905</v>
      </c>
    </row>
    <row r="6" spans="1:19" x14ac:dyDescent="0.2">
      <c r="A6">
        <v>2</v>
      </c>
      <c r="B6" t="s">
        <v>16</v>
      </c>
      <c r="C6" t="s">
        <v>17</v>
      </c>
      <c r="D6" t="s">
        <v>18</v>
      </c>
      <c r="F6">
        <v>81</v>
      </c>
      <c r="G6">
        <v>87</v>
      </c>
      <c r="H6">
        <v>72</v>
      </c>
      <c r="J6">
        <v>100</v>
      </c>
      <c r="K6">
        <v>88</v>
      </c>
      <c r="L6">
        <v>96</v>
      </c>
      <c r="O6">
        <f t="shared" ref="O6:O23" si="0">(F6+F$33)*F$2+G$2*(G6+G$33)+H$2*(H6+H$33)+I$2*(I6+I$33+R6+S6)+J$2*(J6+J$33)+K$2*(K6+K$33)+L$2*(L6+L$33)+M$2*(M6+M$33)</f>
        <v>66.48</v>
      </c>
      <c r="P6" s="2">
        <f t="shared" ref="P6:P24" si="1">O6/$N$2</f>
        <v>89.837837837837824</v>
      </c>
      <c r="R6">
        <v>3</v>
      </c>
    </row>
    <row r="7" spans="1:19" x14ac:dyDescent="0.2">
      <c r="A7">
        <v>3</v>
      </c>
      <c r="B7" t="s">
        <v>25</v>
      </c>
      <c r="C7" t="s">
        <v>26</v>
      </c>
      <c r="D7" t="s">
        <v>27</v>
      </c>
      <c r="F7">
        <v>97</v>
      </c>
      <c r="G7">
        <v>98</v>
      </c>
      <c r="H7">
        <v>89</v>
      </c>
      <c r="J7">
        <v>92</v>
      </c>
      <c r="K7">
        <v>98</v>
      </c>
      <c r="L7">
        <v>100</v>
      </c>
      <c r="O7">
        <f t="shared" si="0"/>
        <v>72.940000000000012</v>
      </c>
      <c r="P7" s="2">
        <f t="shared" si="1"/>
        <v>98.567567567567565</v>
      </c>
      <c r="S7">
        <v>3</v>
      </c>
    </row>
    <row r="8" spans="1:19" x14ac:dyDescent="0.2">
      <c r="A8">
        <v>4</v>
      </c>
      <c r="B8" t="s">
        <v>28</v>
      </c>
      <c r="C8" t="s">
        <v>29</v>
      </c>
      <c r="D8" t="s">
        <v>30</v>
      </c>
      <c r="F8">
        <v>98</v>
      </c>
      <c r="G8">
        <v>99</v>
      </c>
      <c r="H8">
        <v>100</v>
      </c>
      <c r="J8">
        <v>97</v>
      </c>
      <c r="K8">
        <v>99</v>
      </c>
      <c r="L8">
        <v>100</v>
      </c>
      <c r="O8">
        <f t="shared" si="0"/>
        <v>75.87</v>
      </c>
      <c r="P8" s="2">
        <f t="shared" si="1"/>
        <v>102.52702702702702</v>
      </c>
      <c r="R8">
        <v>3</v>
      </c>
      <c r="S8">
        <v>3</v>
      </c>
    </row>
    <row r="9" spans="1:19" x14ac:dyDescent="0.2">
      <c r="A9">
        <v>5</v>
      </c>
      <c r="B9" t="s">
        <v>31</v>
      </c>
      <c r="C9" t="s">
        <v>32</v>
      </c>
      <c r="D9" t="s">
        <v>33</v>
      </c>
      <c r="F9">
        <v>76</v>
      </c>
      <c r="G9">
        <v>86</v>
      </c>
      <c r="H9">
        <v>53</v>
      </c>
      <c r="J9">
        <v>96</v>
      </c>
      <c r="K9">
        <v>94</v>
      </c>
      <c r="L9">
        <v>95</v>
      </c>
      <c r="O9">
        <f t="shared" si="0"/>
        <v>62.09</v>
      </c>
      <c r="P9" s="2">
        <f t="shared" si="1"/>
        <v>83.905405405405403</v>
      </c>
    </row>
    <row r="10" spans="1:19" x14ac:dyDescent="0.2">
      <c r="A10">
        <v>6</v>
      </c>
      <c r="B10" t="s">
        <v>34</v>
      </c>
      <c r="C10" t="s">
        <v>35</v>
      </c>
      <c r="D10" t="s">
        <v>36</v>
      </c>
      <c r="F10">
        <v>94</v>
      </c>
      <c r="G10">
        <v>90</v>
      </c>
      <c r="H10">
        <v>84</v>
      </c>
      <c r="J10">
        <v>94</v>
      </c>
      <c r="K10">
        <v>98</v>
      </c>
      <c r="L10">
        <v>99</v>
      </c>
      <c r="O10">
        <f t="shared" si="0"/>
        <v>70.650000000000006</v>
      </c>
      <c r="P10" s="2">
        <f t="shared" si="1"/>
        <v>95.472972972972968</v>
      </c>
      <c r="R10">
        <v>3</v>
      </c>
      <c r="S10">
        <v>3</v>
      </c>
    </row>
    <row r="11" spans="1:19" x14ac:dyDescent="0.2">
      <c r="A11">
        <v>7</v>
      </c>
      <c r="B11" t="s">
        <v>37</v>
      </c>
      <c r="C11" t="s">
        <v>38</v>
      </c>
      <c r="D11" t="s">
        <v>39</v>
      </c>
      <c r="F11">
        <v>94</v>
      </c>
      <c r="G11">
        <v>100</v>
      </c>
      <c r="H11">
        <v>98</v>
      </c>
      <c r="J11">
        <v>99</v>
      </c>
      <c r="K11">
        <v>91</v>
      </c>
      <c r="L11">
        <v>92</v>
      </c>
      <c r="O11">
        <f t="shared" si="0"/>
        <v>74.589999999999989</v>
      </c>
      <c r="P11" s="2">
        <f t="shared" si="1"/>
        <v>100.79729729729726</v>
      </c>
      <c r="R11">
        <v>3</v>
      </c>
      <c r="S11">
        <v>3</v>
      </c>
    </row>
    <row r="12" spans="1:19" x14ac:dyDescent="0.2">
      <c r="A12">
        <v>8</v>
      </c>
      <c r="B12" t="s">
        <v>43</v>
      </c>
      <c r="C12" t="s">
        <v>44</v>
      </c>
      <c r="D12" t="s">
        <v>45</v>
      </c>
      <c r="F12">
        <v>85</v>
      </c>
      <c r="G12">
        <v>85</v>
      </c>
      <c r="H12">
        <v>72</v>
      </c>
      <c r="J12">
        <v>94</v>
      </c>
      <c r="K12">
        <v>92</v>
      </c>
      <c r="L12">
        <v>91</v>
      </c>
      <c r="O12">
        <f t="shared" si="0"/>
        <v>65.790000000000006</v>
      </c>
      <c r="P12" s="2">
        <f t="shared" si="1"/>
        <v>88.905405405405403</v>
      </c>
    </row>
    <row r="13" spans="1:19" x14ac:dyDescent="0.2">
      <c r="A13">
        <v>9</v>
      </c>
      <c r="B13" t="s">
        <v>46</v>
      </c>
      <c r="C13" t="s">
        <v>47</v>
      </c>
      <c r="D13" t="s">
        <v>48</v>
      </c>
      <c r="F13">
        <v>92</v>
      </c>
      <c r="G13">
        <v>95</v>
      </c>
      <c r="H13">
        <v>89</v>
      </c>
      <c r="J13">
        <v>99</v>
      </c>
      <c r="K13">
        <v>97</v>
      </c>
      <c r="L13">
        <v>100</v>
      </c>
      <c r="O13">
        <f t="shared" si="0"/>
        <v>72.72999999999999</v>
      </c>
      <c r="P13" s="2">
        <f t="shared" si="1"/>
        <v>98.283783783783761</v>
      </c>
      <c r="R13">
        <v>3</v>
      </c>
      <c r="S13">
        <v>3</v>
      </c>
    </row>
    <row r="14" spans="1:19" x14ac:dyDescent="0.2">
      <c r="A14">
        <v>10</v>
      </c>
      <c r="B14" t="s">
        <v>51</v>
      </c>
      <c r="C14" t="s">
        <v>52</v>
      </c>
      <c r="D14" t="s">
        <v>53</v>
      </c>
      <c r="F14">
        <v>93</v>
      </c>
      <c r="G14">
        <v>94</v>
      </c>
      <c r="H14">
        <v>96</v>
      </c>
      <c r="J14">
        <v>95</v>
      </c>
      <c r="K14">
        <v>98</v>
      </c>
      <c r="L14">
        <v>100</v>
      </c>
      <c r="O14">
        <f t="shared" si="0"/>
        <v>73.260000000000005</v>
      </c>
      <c r="P14" s="2">
        <f t="shared" si="1"/>
        <v>99</v>
      </c>
      <c r="R14">
        <v>3</v>
      </c>
      <c r="S14">
        <v>3</v>
      </c>
    </row>
    <row r="15" spans="1:19" x14ac:dyDescent="0.2">
      <c r="A15">
        <v>11</v>
      </c>
      <c r="B15" t="s">
        <v>54</v>
      </c>
      <c r="C15" t="s">
        <v>55</v>
      </c>
      <c r="D15" t="s">
        <v>56</v>
      </c>
      <c r="F15">
        <v>100</v>
      </c>
      <c r="G15">
        <v>90</v>
      </c>
      <c r="H15">
        <v>86</v>
      </c>
      <c r="J15">
        <v>98</v>
      </c>
      <c r="K15">
        <v>99</v>
      </c>
      <c r="L15">
        <v>100</v>
      </c>
      <c r="O15">
        <f t="shared" si="0"/>
        <v>72.67</v>
      </c>
      <c r="P15" s="2">
        <f t="shared" si="1"/>
        <v>98.202702702702695</v>
      </c>
    </row>
    <row r="16" spans="1:19" x14ac:dyDescent="0.2">
      <c r="A16">
        <v>12</v>
      </c>
      <c r="B16" t="s">
        <v>57</v>
      </c>
      <c r="C16" t="s">
        <v>58</v>
      </c>
      <c r="D16" t="s">
        <v>59</v>
      </c>
      <c r="F16">
        <v>51</v>
      </c>
      <c r="G16">
        <v>72</v>
      </c>
      <c r="H16">
        <v>55</v>
      </c>
      <c r="J16">
        <v>91</v>
      </c>
      <c r="K16">
        <v>85</v>
      </c>
      <c r="L16">
        <v>87</v>
      </c>
      <c r="O16">
        <f>(F16+F$33)*F$2+G$2*(G16+G$33)+H$2*(H16+H$33)+I$2*(I16+I$33+R16+S16)+J$2*(J16+J$33)+K$2*(K16+K$33)+L$2*(L16+L$33)+M$2*(M16+M$33)</f>
        <v>54.52</v>
      </c>
      <c r="P16" s="2">
        <f t="shared" si="1"/>
        <v>73.675675675675663</v>
      </c>
      <c r="R16">
        <v>3</v>
      </c>
      <c r="S16">
        <v>3</v>
      </c>
    </row>
    <row r="17" spans="1:19" x14ac:dyDescent="0.2">
      <c r="A17">
        <v>13</v>
      </c>
      <c r="B17" t="s">
        <v>4</v>
      </c>
      <c r="C17" t="s">
        <v>58</v>
      </c>
      <c r="D17" t="s">
        <v>60</v>
      </c>
      <c r="F17">
        <v>78</v>
      </c>
      <c r="G17">
        <v>88</v>
      </c>
      <c r="H17">
        <v>76</v>
      </c>
      <c r="J17">
        <v>93</v>
      </c>
      <c r="K17">
        <v>98</v>
      </c>
      <c r="L17">
        <v>93</v>
      </c>
      <c r="O17">
        <f t="shared" si="0"/>
        <v>66.03</v>
      </c>
      <c r="P17" s="2">
        <f t="shared" si="1"/>
        <v>89.229729729729712</v>
      </c>
    </row>
    <row r="18" spans="1:19" x14ac:dyDescent="0.2">
      <c r="P18" s="2"/>
    </row>
    <row r="19" spans="1:19" x14ac:dyDescent="0.2">
      <c r="A19">
        <v>14</v>
      </c>
      <c r="B19" t="s">
        <v>4</v>
      </c>
      <c r="C19" t="s">
        <v>5</v>
      </c>
      <c r="D19" t="s">
        <v>6</v>
      </c>
      <c r="F19">
        <v>100</v>
      </c>
      <c r="G19">
        <v>96</v>
      </c>
      <c r="H19">
        <v>100</v>
      </c>
      <c r="J19">
        <v>98</v>
      </c>
      <c r="K19">
        <v>100</v>
      </c>
      <c r="L19">
        <v>100</v>
      </c>
      <c r="O19">
        <f t="shared" si="0"/>
        <v>75.92</v>
      </c>
      <c r="P19" s="2">
        <f t="shared" si="1"/>
        <v>102.59459459459458</v>
      </c>
      <c r="R19">
        <v>3</v>
      </c>
      <c r="S19">
        <v>3</v>
      </c>
    </row>
    <row r="20" spans="1:19" x14ac:dyDescent="0.2">
      <c r="A20">
        <v>15</v>
      </c>
      <c r="B20" t="s">
        <v>10</v>
      </c>
      <c r="C20" t="s">
        <v>11</v>
      </c>
      <c r="D20" t="s">
        <v>12</v>
      </c>
      <c r="F20">
        <v>94</v>
      </c>
      <c r="G20">
        <v>100</v>
      </c>
      <c r="H20">
        <v>96</v>
      </c>
      <c r="J20">
        <v>96</v>
      </c>
      <c r="K20">
        <v>100</v>
      </c>
      <c r="L20">
        <v>95</v>
      </c>
      <c r="O20">
        <f t="shared" si="0"/>
        <v>74.39</v>
      </c>
      <c r="P20" s="2">
        <f t="shared" si="1"/>
        <v>100.52702702702702</v>
      </c>
      <c r="R20">
        <v>3</v>
      </c>
      <c r="S20">
        <v>3</v>
      </c>
    </row>
    <row r="21" spans="1:19" hidden="1" x14ac:dyDescent="0.2">
      <c r="A21">
        <v>16</v>
      </c>
      <c r="B21" t="s">
        <v>13</v>
      </c>
      <c r="C21" t="s">
        <v>14</v>
      </c>
      <c r="D21" t="s">
        <v>15</v>
      </c>
      <c r="F21">
        <v>70</v>
      </c>
      <c r="G21">
        <v>65</v>
      </c>
      <c r="K21">
        <v>90</v>
      </c>
      <c r="O21">
        <f t="shared" si="0"/>
        <v>28.980000000000004</v>
      </c>
      <c r="P21" s="2">
        <f t="shared" si="1"/>
        <v>39.162162162162161</v>
      </c>
    </row>
    <row r="22" spans="1:19" x14ac:dyDescent="0.2">
      <c r="A22">
        <v>17</v>
      </c>
      <c r="B22" t="s">
        <v>19</v>
      </c>
      <c r="C22" t="s">
        <v>20</v>
      </c>
      <c r="D22" t="s">
        <v>21</v>
      </c>
      <c r="F22">
        <v>90</v>
      </c>
      <c r="G22">
        <v>81</v>
      </c>
      <c r="H22">
        <v>90</v>
      </c>
      <c r="J22">
        <v>92</v>
      </c>
      <c r="K22">
        <v>91</v>
      </c>
      <c r="L22">
        <v>92</v>
      </c>
      <c r="O22">
        <f t="shared" si="0"/>
        <v>68.509999999999991</v>
      </c>
      <c r="P22" s="2">
        <f t="shared" si="1"/>
        <v>92.581081081081052</v>
      </c>
      <c r="R22">
        <v>3</v>
      </c>
    </row>
    <row r="23" spans="1:19" x14ac:dyDescent="0.2">
      <c r="A23">
        <v>18</v>
      </c>
      <c r="B23" t="s">
        <v>22</v>
      </c>
      <c r="C23" t="s">
        <v>23</v>
      </c>
      <c r="D23" t="s">
        <v>24</v>
      </c>
      <c r="F23">
        <v>86</v>
      </c>
      <c r="G23">
        <v>93</v>
      </c>
      <c r="H23">
        <v>86</v>
      </c>
      <c r="J23">
        <v>90</v>
      </c>
      <c r="K23">
        <v>94</v>
      </c>
      <c r="L23">
        <v>98</v>
      </c>
      <c r="O23">
        <f t="shared" si="0"/>
        <v>69.28</v>
      </c>
      <c r="P23" s="2">
        <f t="shared" si="1"/>
        <v>93.621621621621614</v>
      </c>
    </row>
    <row r="24" spans="1:19" x14ac:dyDescent="0.2">
      <c r="A24">
        <v>19</v>
      </c>
      <c r="B24" t="s">
        <v>7</v>
      </c>
      <c r="C24" t="s">
        <v>49</v>
      </c>
      <c r="D24" t="s">
        <v>50</v>
      </c>
      <c r="F24">
        <v>78</v>
      </c>
      <c r="G24">
        <v>81</v>
      </c>
      <c r="H24">
        <v>82</v>
      </c>
      <c r="J24">
        <v>95</v>
      </c>
      <c r="K24">
        <v>96</v>
      </c>
      <c r="L24">
        <v>92</v>
      </c>
      <c r="O24">
        <f>(F24+F$33)*F$2+G$2*(G24+G$33)+H$2*(H24+H$33)+I$2*(I24+I$33+R24+S24)+J$2*(J24+J$33)+K$2*(K24+K$33)+L$2*(L24+L$33)+M$2*(M24+M$33)</f>
        <v>66.039999999999992</v>
      </c>
      <c r="P24" s="2">
        <f t="shared" si="1"/>
        <v>89.243243243243214</v>
      </c>
      <c r="R24">
        <v>3</v>
      </c>
      <c r="S24">
        <v>3</v>
      </c>
    </row>
    <row r="25" spans="1:19" x14ac:dyDescent="0.2">
      <c r="P25" s="2"/>
    </row>
    <row r="26" spans="1:19" x14ac:dyDescent="0.2">
      <c r="I26">
        <v>0.2</v>
      </c>
      <c r="M26">
        <v>0.1</v>
      </c>
      <c r="P26" s="2"/>
    </row>
    <row r="27" spans="1:19" x14ac:dyDescent="0.2">
      <c r="B27" s="1" t="s">
        <v>70</v>
      </c>
      <c r="F27">
        <v>0.2</v>
      </c>
      <c r="G27">
        <v>0.2</v>
      </c>
      <c r="H27">
        <v>0.2</v>
      </c>
      <c r="K27">
        <v>0.05</v>
      </c>
      <c r="L27">
        <v>0.05</v>
      </c>
      <c r="N27">
        <f>SUM(F27:M27)</f>
        <v>0.70000000000000018</v>
      </c>
      <c r="P27" s="2"/>
    </row>
    <row r="28" spans="1:19" x14ac:dyDescent="0.2">
      <c r="A28">
        <v>20</v>
      </c>
      <c r="B28" t="s">
        <v>40</v>
      </c>
      <c r="C28" t="s">
        <v>41</v>
      </c>
      <c r="D28" t="s">
        <v>42</v>
      </c>
      <c r="F28">
        <v>72</v>
      </c>
      <c r="G28">
        <v>86</v>
      </c>
      <c r="H28">
        <v>85</v>
      </c>
      <c r="K28">
        <v>75</v>
      </c>
      <c r="L28">
        <v>85</v>
      </c>
      <c r="O28">
        <f>(F28+F$33)*F$27+G$27*(G28+G$33)+H$27*(H28+H$33)+I$27*(I28+I$33+R28+S28)+J$27*(J28+J$33)+K$27*(K28+K$33)+L$27*(L28+L$33)+M$27*(M28+M$33)</f>
        <v>60.2</v>
      </c>
      <c r="P28" s="2">
        <f>O28/$N$27</f>
        <v>85.999999999999986</v>
      </c>
      <c r="R28">
        <v>3</v>
      </c>
      <c r="S28">
        <v>3</v>
      </c>
    </row>
    <row r="29" spans="1:19" hidden="1" x14ac:dyDescent="0.2">
      <c r="A29">
        <v>21</v>
      </c>
      <c r="B29" s="1" t="s">
        <v>73</v>
      </c>
      <c r="C29" s="1" t="s">
        <v>74</v>
      </c>
      <c r="D29" s="1" t="s">
        <v>72</v>
      </c>
      <c r="F29">
        <v>20</v>
      </c>
      <c r="G29">
        <v>17</v>
      </c>
      <c r="O29">
        <f>(F29+F$33)*F$27+G$27*(G29+G$33)+H$27*(H29+H$33)+I$27*(I29+I$33)+J$27*(J29+J$33)+K$27*(K29+K$33)+L$27*(L29+L$33)+M$27*(M29+M$33)</f>
        <v>11</v>
      </c>
      <c r="P29" s="2">
        <f>O29/$N$27</f>
        <v>15.71428571428571</v>
      </c>
    </row>
    <row r="30" spans="1:19" x14ac:dyDescent="0.2">
      <c r="B30" s="1"/>
      <c r="C30" s="1"/>
      <c r="D30" s="1"/>
    </row>
    <row r="31" spans="1:19" x14ac:dyDescent="0.2">
      <c r="E31" s="1" t="s">
        <v>98</v>
      </c>
      <c r="F31">
        <f>AVERAGE(F5:F24,F28:F29)</f>
        <v>82.952380952380949</v>
      </c>
      <c r="G31">
        <f t="shared" ref="G31" si="2">AVERAGE(G5:G24,G28:G29)</f>
        <v>85.523809523809518</v>
      </c>
      <c r="H31">
        <f>AVERAGE(H5:H24,H28:H29)</f>
        <v>84</v>
      </c>
      <c r="I31">
        <v>85</v>
      </c>
      <c r="J31">
        <f>AVERAGE(J5:J24,J28:J29)</f>
        <v>95.388888888888886</v>
      </c>
      <c r="K31">
        <f t="shared" ref="K31:N31" si="3">AVERAGE(K5:K24,K28:K29)</f>
        <v>94.1</v>
      </c>
      <c r="L31">
        <f t="shared" si="3"/>
        <v>95.421052631578945</v>
      </c>
      <c r="M31" t="e">
        <f t="shared" si="3"/>
        <v>#DIV/0!</v>
      </c>
      <c r="N31" t="e">
        <f t="shared" si="3"/>
        <v>#DIV/0!</v>
      </c>
      <c r="R31">
        <f>COUNT(R5:R24,R28)</f>
        <v>12</v>
      </c>
      <c r="S31">
        <f>COUNT(S5:S24,S28)</f>
        <v>11</v>
      </c>
    </row>
    <row r="32" spans="1:19" x14ac:dyDescent="0.2">
      <c r="E32" s="1" t="s">
        <v>100</v>
      </c>
      <c r="F32">
        <f>STDEV(F5:F24,F28:F29)</f>
        <v>18.829434910469786</v>
      </c>
      <c r="G32">
        <f t="shared" ref="G32:I32" si="4">STDEV(G5:G24,G28:G29)</f>
        <v>18.06825682687473</v>
      </c>
      <c r="H32">
        <f t="shared" si="4"/>
        <v>13.45362404707371</v>
      </c>
      <c r="I32" t="e">
        <f t="shared" si="4"/>
        <v>#DIV/0!</v>
      </c>
      <c r="J32">
        <f t="shared" ref="J32:N32" si="5">STDEV(J5:J24,J28:J29)</f>
        <v>2.992911014358643</v>
      </c>
      <c r="K32">
        <f t="shared" si="5"/>
        <v>6.239939270959546</v>
      </c>
      <c r="L32">
        <f t="shared" si="5"/>
        <v>4.670424552123289</v>
      </c>
      <c r="M32" t="e">
        <f t="shared" si="5"/>
        <v>#DIV/0!</v>
      </c>
      <c r="N32" t="e">
        <f t="shared" si="5"/>
        <v>#DIV/0!</v>
      </c>
    </row>
    <row r="33" spans="1:23" x14ac:dyDescent="0.2">
      <c r="E33" s="1" t="s">
        <v>69</v>
      </c>
      <c r="F33" s="1">
        <v>7</v>
      </c>
      <c r="G33" s="1">
        <v>5</v>
      </c>
      <c r="H33" s="1">
        <v>6</v>
      </c>
      <c r="I33" s="1">
        <v>5</v>
      </c>
      <c r="J33" s="1"/>
      <c r="K33" s="1"/>
      <c r="L33" s="1"/>
      <c r="M33" s="1"/>
      <c r="N33" s="1"/>
    </row>
    <row r="34" spans="1:23" x14ac:dyDescent="0.2">
      <c r="E34" s="1" t="s">
        <v>99</v>
      </c>
      <c r="F34">
        <f>F31+F33</f>
        <v>89.952380952380949</v>
      </c>
      <c r="G34">
        <f>G31+G33</f>
        <v>90.523809523809518</v>
      </c>
      <c r="H34">
        <f>H31+H33</f>
        <v>90</v>
      </c>
      <c r="I34">
        <f>I31+SUM(I33:I33)</f>
        <v>90</v>
      </c>
      <c r="J34">
        <f>J31+J33</f>
        <v>95.388888888888886</v>
      </c>
      <c r="K34">
        <f>K31+K33</f>
        <v>94.1</v>
      </c>
      <c r="L34">
        <f>L31+L33</f>
        <v>95.421052631578945</v>
      </c>
      <c r="M34" t="e">
        <f>M31+M33</f>
        <v>#DIV/0!</v>
      </c>
      <c r="N34" t="e">
        <f>N31+N33</f>
        <v>#DIV/0!</v>
      </c>
    </row>
    <row r="37" spans="1:23" x14ac:dyDescent="0.2">
      <c r="B37" s="1" t="s">
        <v>75</v>
      </c>
      <c r="C37" s="1" t="s">
        <v>77</v>
      </c>
      <c r="D37" s="1" t="s">
        <v>78</v>
      </c>
      <c r="E37" s="1" t="s">
        <v>79</v>
      </c>
      <c r="F37" s="1" t="s">
        <v>80</v>
      </c>
      <c r="G37" s="1" t="s">
        <v>81</v>
      </c>
      <c r="H37" s="1" t="s">
        <v>82</v>
      </c>
      <c r="I37" s="1" t="s">
        <v>83</v>
      </c>
      <c r="J37" s="1" t="s">
        <v>84</v>
      </c>
      <c r="K37" s="1" t="s">
        <v>85</v>
      </c>
      <c r="L37" s="1" t="s">
        <v>86</v>
      </c>
      <c r="M37" s="1" t="s">
        <v>87</v>
      </c>
      <c r="N37" s="1" t="s">
        <v>88</v>
      </c>
      <c r="O37" s="1" t="s">
        <v>89</v>
      </c>
      <c r="P37" s="1" t="s">
        <v>90</v>
      </c>
      <c r="Q37" s="1" t="s">
        <v>91</v>
      </c>
      <c r="R37" s="1" t="s">
        <v>92</v>
      </c>
      <c r="S37" s="1" t="s">
        <v>93</v>
      </c>
      <c r="T37" s="1" t="s">
        <v>94</v>
      </c>
      <c r="U37" s="1" t="s">
        <v>95</v>
      </c>
      <c r="V37" s="1" t="s">
        <v>96</v>
      </c>
      <c r="W37" s="1" t="s">
        <v>97</v>
      </c>
    </row>
    <row r="38" spans="1:23" x14ac:dyDescent="0.2">
      <c r="A38">
        <v>1</v>
      </c>
      <c r="B38">
        <v>12</v>
      </c>
      <c r="C38">
        <v>10</v>
      </c>
      <c r="D38">
        <v>9</v>
      </c>
      <c r="E38">
        <v>10</v>
      </c>
      <c r="F38">
        <v>11</v>
      </c>
      <c r="G38">
        <v>11</v>
      </c>
      <c r="H38">
        <v>12</v>
      </c>
      <c r="I38">
        <v>12</v>
      </c>
      <c r="J38">
        <v>10</v>
      </c>
      <c r="K38">
        <v>12</v>
      </c>
      <c r="L38">
        <v>11</v>
      </c>
      <c r="M38">
        <v>12</v>
      </c>
      <c r="N38">
        <v>11</v>
      </c>
      <c r="O38">
        <v>7</v>
      </c>
      <c r="P38">
        <v>12</v>
      </c>
      <c r="Q38">
        <v>11</v>
      </c>
      <c r="R38">
        <v>6</v>
      </c>
      <c r="S38">
        <v>12</v>
      </c>
      <c r="T38">
        <v>6</v>
      </c>
      <c r="U38">
        <v>11</v>
      </c>
      <c r="V38">
        <v>9</v>
      </c>
      <c r="W38">
        <v>0</v>
      </c>
    </row>
    <row r="39" spans="1:23" x14ac:dyDescent="0.2">
      <c r="A39">
        <v>2</v>
      </c>
      <c r="B39">
        <v>18</v>
      </c>
      <c r="C39">
        <v>18</v>
      </c>
      <c r="D39">
        <v>18</v>
      </c>
      <c r="E39">
        <v>18</v>
      </c>
      <c r="F39">
        <v>18</v>
      </c>
      <c r="G39">
        <v>14</v>
      </c>
      <c r="H39">
        <v>16</v>
      </c>
      <c r="I39">
        <v>16</v>
      </c>
      <c r="J39">
        <v>18</v>
      </c>
      <c r="K39">
        <v>18</v>
      </c>
      <c r="L39">
        <v>16</v>
      </c>
      <c r="M39">
        <v>18</v>
      </c>
      <c r="N39">
        <v>17</v>
      </c>
      <c r="O39">
        <v>18</v>
      </c>
      <c r="P39">
        <v>18</v>
      </c>
      <c r="Q39">
        <v>16</v>
      </c>
      <c r="R39">
        <v>14</v>
      </c>
      <c r="S39">
        <v>18</v>
      </c>
      <c r="T39">
        <v>14</v>
      </c>
      <c r="U39">
        <v>10</v>
      </c>
      <c r="V39">
        <v>6</v>
      </c>
      <c r="W39">
        <v>6</v>
      </c>
    </row>
    <row r="40" spans="1:23" x14ac:dyDescent="0.2">
      <c r="A40">
        <v>3</v>
      </c>
      <c r="B40">
        <v>8</v>
      </c>
      <c r="C40">
        <v>6</v>
      </c>
      <c r="D40">
        <v>6</v>
      </c>
      <c r="E40">
        <v>7</v>
      </c>
      <c r="F40">
        <v>8</v>
      </c>
      <c r="G40">
        <v>6</v>
      </c>
      <c r="H40">
        <v>7</v>
      </c>
      <c r="I40">
        <v>6</v>
      </c>
      <c r="J40">
        <v>4</v>
      </c>
      <c r="K40">
        <v>7</v>
      </c>
      <c r="L40">
        <v>5</v>
      </c>
      <c r="M40">
        <v>8</v>
      </c>
      <c r="N40">
        <v>8</v>
      </c>
      <c r="O40">
        <v>6</v>
      </c>
      <c r="P40">
        <v>8</v>
      </c>
      <c r="Q40">
        <v>7</v>
      </c>
      <c r="R40">
        <v>7</v>
      </c>
      <c r="S40">
        <v>7</v>
      </c>
      <c r="T40">
        <v>5</v>
      </c>
      <c r="U40">
        <v>7</v>
      </c>
      <c r="V40">
        <v>8</v>
      </c>
      <c r="W40">
        <v>3</v>
      </c>
    </row>
    <row r="41" spans="1:23" x14ac:dyDescent="0.2">
      <c r="A41">
        <v>4</v>
      </c>
      <c r="B41">
        <v>6</v>
      </c>
      <c r="C41">
        <v>6</v>
      </c>
      <c r="D41">
        <v>1</v>
      </c>
      <c r="E41">
        <v>6</v>
      </c>
      <c r="F41">
        <v>6</v>
      </c>
      <c r="G41">
        <v>3</v>
      </c>
      <c r="H41">
        <v>6</v>
      </c>
      <c r="I41">
        <v>6</v>
      </c>
      <c r="J41">
        <v>6</v>
      </c>
      <c r="K41">
        <v>2</v>
      </c>
      <c r="L41">
        <v>6</v>
      </c>
      <c r="M41">
        <v>6</v>
      </c>
      <c r="N41">
        <v>4</v>
      </c>
      <c r="O41">
        <v>6</v>
      </c>
      <c r="P41">
        <v>6</v>
      </c>
      <c r="Q41">
        <v>4</v>
      </c>
      <c r="R41">
        <v>4</v>
      </c>
      <c r="S41">
        <v>6</v>
      </c>
      <c r="T41">
        <v>5</v>
      </c>
      <c r="U41">
        <v>6</v>
      </c>
      <c r="V41">
        <v>6</v>
      </c>
      <c r="W41">
        <v>1</v>
      </c>
    </row>
    <row r="42" spans="1:23" x14ac:dyDescent="0.2">
      <c r="A42">
        <v>5</v>
      </c>
      <c r="B42">
        <v>6</v>
      </c>
      <c r="C42">
        <v>6</v>
      </c>
      <c r="D42">
        <v>6</v>
      </c>
      <c r="E42">
        <v>6</v>
      </c>
      <c r="F42">
        <v>6</v>
      </c>
      <c r="G42">
        <v>1</v>
      </c>
      <c r="H42">
        <v>5</v>
      </c>
      <c r="I42">
        <v>6</v>
      </c>
      <c r="J42">
        <v>5</v>
      </c>
      <c r="K42">
        <v>6</v>
      </c>
      <c r="L42">
        <v>5</v>
      </c>
      <c r="M42">
        <v>6</v>
      </c>
      <c r="N42">
        <v>0</v>
      </c>
      <c r="O42">
        <v>5</v>
      </c>
      <c r="P42">
        <v>6</v>
      </c>
      <c r="Q42">
        <v>6</v>
      </c>
      <c r="R42">
        <v>6</v>
      </c>
      <c r="S42">
        <v>5</v>
      </c>
      <c r="T42">
        <v>6</v>
      </c>
      <c r="U42">
        <v>6</v>
      </c>
      <c r="V42">
        <v>6</v>
      </c>
      <c r="W42">
        <v>0</v>
      </c>
    </row>
    <row r="43" spans="1:23" x14ac:dyDescent="0.2">
      <c r="A43">
        <v>6</v>
      </c>
      <c r="B43">
        <v>5</v>
      </c>
      <c r="C43">
        <v>5</v>
      </c>
      <c r="D43">
        <v>5</v>
      </c>
      <c r="E43">
        <v>5</v>
      </c>
      <c r="F43">
        <v>5</v>
      </c>
      <c r="G43">
        <v>5</v>
      </c>
      <c r="H43">
        <v>5</v>
      </c>
      <c r="I43">
        <v>4</v>
      </c>
      <c r="J43">
        <v>4</v>
      </c>
      <c r="K43">
        <v>5</v>
      </c>
      <c r="L43">
        <v>5</v>
      </c>
      <c r="M43">
        <v>5</v>
      </c>
      <c r="N43">
        <v>4</v>
      </c>
      <c r="O43">
        <v>4</v>
      </c>
      <c r="P43">
        <v>5</v>
      </c>
      <c r="Q43">
        <v>5</v>
      </c>
      <c r="R43">
        <v>3</v>
      </c>
      <c r="S43">
        <v>5</v>
      </c>
      <c r="T43">
        <v>5</v>
      </c>
      <c r="U43">
        <v>5</v>
      </c>
      <c r="V43">
        <v>3</v>
      </c>
      <c r="W43">
        <v>1</v>
      </c>
    </row>
    <row r="44" spans="1:23" x14ac:dyDescent="0.2">
      <c r="A44">
        <v>7</v>
      </c>
      <c r="B44">
        <v>8</v>
      </c>
      <c r="C44">
        <v>8</v>
      </c>
      <c r="D44">
        <v>7</v>
      </c>
      <c r="E44">
        <v>8</v>
      </c>
      <c r="F44">
        <v>8</v>
      </c>
      <c r="G44">
        <v>8</v>
      </c>
      <c r="H44">
        <v>8</v>
      </c>
      <c r="I44">
        <v>8</v>
      </c>
      <c r="J44">
        <v>8</v>
      </c>
      <c r="K44">
        <v>7</v>
      </c>
      <c r="L44">
        <v>8</v>
      </c>
      <c r="M44">
        <v>8</v>
      </c>
      <c r="N44">
        <v>4</v>
      </c>
      <c r="O44">
        <v>5</v>
      </c>
      <c r="P44">
        <v>8</v>
      </c>
      <c r="Q44">
        <v>8</v>
      </c>
      <c r="R44">
        <v>5</v>
      </c>
      <c r="S44">
        <v>7</v>
      </c>
      <c r="T44">
        <v>8</v>
      </c>
      <c r="U44">
        <v>6</v>
      </c>
      <c r="V44">
        <v>8</v>
      </c>
      <c r="W44">
        <v>1</v>
      </c>
    </row>
    <row r="45" spans="1:23" x14ac:dyDescent="0.2">
      <c r="A45">
        <v>8</v>
      </c>
      <c r="B45">
        <v>4</v>
      </c>
      <c r="C45">
        <v>4</v>
      </c>
      <c r="D45">
        <v>2</v>
      </c>
      <c r="E45">
        <v>4</v>
      </c>
      <c r="F45">
        <v>3</v>
      </c>
      <c r="G45">
        <v>1</v>
      </c>
      <c r="H45">
        <v>4</v>
      </c>
      <c r="I45">
        <v>3</v>
      </c>
      <c r="J45">
        <v>3</v>
      </c>
      <c r="K45">
        <v>4</v>
      </c>
      <c r="L45">
        <v>4</v>
      </c>
      <c r="M45">
        <v>4</v>
      </c>
      <c r="N45">
        <v>3</v>
      </c>
      <c r="O45">
        <v>2</v>
      </c>
      <c r="P45">
        <v>4</v>
      </c>
      <c r="Q45">
        <v>4</v>
      </c>
      <c r="R45">
        <v>3</v>
      </c>
      <c r="S45">
        <v>3</v>
      </c>
      <c r="T45">
        <v>4</v>
      </c>
      <c r="U45">
        <v>2</v>
      </c>
      <c r="V45">
        <v>0</v>
      </c>
      <c r="W45">
        <v>0</v>
      </c>
    </row>
    <row r="46" spans="1:23" x14ac:dyDescent="0.2">
      <c r="A46">
        <v>9</v>
      </c>
      <c r="B46">
        <v>4</v>
      </c>
      <c r="C46">
        <v>4</v>
      </c>
      <c r="D46">
        <v>1</v>
      </c>
      <c r="E46">
        <v>4</v>
      </c>
      <c r="F46">
        <v>4</v>
      </c>
      <c r="G46">
        <v>1</v>
      </c>
      <c r="H46">
        <v>3</v>
      </c>
      <c r="I46">
        <v>4</v>
      </c>
      <c r="J46">
        <v>3</v>
      </c>
      <c r="K46">
        <v>2</v>
      </c>
      <c r="L46">
        <v>4</v>
      </c>
      <c r="M46">
        <v>4</v>
      </c>
      <c r="N46">
        <v>0</v>
      </c>
      <c r="O46">
        <v>4</v>
      </c>
      <c r="P46">
        <v>4</v>
      </c>
      <c r="Q46">
        <v>4</v>
      </c>
      <c r="R46">
        <v>1</v>
      </c>
      <c r="S46">
        <v>4</v>
      </c>
      <c r="T46">
        <v>4</v>
      </c>
      <c r="U46">
        <v>1</v>
      </c>
      <c r="V46">
        <v>2</v>
      </c>
      <c r="W46">
        <v>0</v>
      </c>
    </row>
    <row r="47" spans="1:23" x14ac:dyDescent="0.2">
      <c r="A47">
        <v>10</v>
      </c>
      <c r="B47">
        <v>6</v>
      </c>
      <c r="C47">
        <v>6</v>
      </c>
      <c r="D47">
        <v>5</v>
      </c>
      <c r="E47">
        <v>6</v>
      </c>
      <c r="F47">
        <v>6</v>
      </c>
      <c r="G47">
        <v>4</v>
      </c>
      <c r="H47">
        <v>6</v>
      </c>
      <c r="I47">
        <v>6</v>
      </c>
      <c r="J47">
        <v>5</v>
      </c>
      <c r="K47">
        <v>6</v>
      </c>
      <c r="L47">
        <v>6</v>
      </c>
      <c r="M47">
        <v>6</v>
      </c>
      <c r="N47">
        <v>0</v>
      </c>
      <c r="O47">
        <v>5</v>
      </c>
      <c r="P47">
        <v>6</v>
      </c>
      <c r="Q47">
        <v>6</v>
      </c>
      <c r="R47">
        <v>6</v>
      </c>
      <c r="S47">
        <v>6</v>
      </c>
      <c r="T47">
        <v>6</v>
      </c>
      <c r="U47">
        <v>4</v>
      </c>
      <c r="V47">
        <v>6</v>
      </c>
      <c r="W47">
        <v>1</v>
      </c>
    </row>
    <row r="48" spans="1:23" x14ac:dyDescent="0.2">
      <c r="A48">
        <v>11</v>
      </c>
      <c r="B48">
        <v>4</v>
      </c>
      <c r="C48">
        <v>4</v>
      </c>
      <c r="D48">
        <v>4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>
        <v>0</v>
      </c>
      <c r="O48">
        <v>4</v>
      </c>
      <c r="P48">
        <v>4</v>
      </c>
      <c r="Q48">
        <v>4</v>
      </c>
      <c r="R48">
        <v>3</v>
      </c>
      <c r="S48">
        <v>3</v>
      </c>
      <c r="T48">
        <v>4</v>
      </c>
      <c r="U48">
        <v>4</v>
      </c>
      <c r="V48">
        <v>0</v>
      </c>
      <c r="W48">
        <v>4</v>
      </c>
    </row>
    <row r="49" spans="1:23" x14ac:dyDescent="0.2">
      <c r="A49">
        <v>12</v>
      </c>
      <c r="B49">
        <v>4</v>
      </c>
      <c r="C49">
        <v>1</v>
      </c>
      <c r="D49">
        <v>4</v>
      </c>
      <c r="E49">
        <v>4</v>
      </c>
      <c r="F49">
        <v>4</v>
      </c>
      <c r="G49">
        <v>3</v>
      </c>
      <c r="H49">
        <v>4</v>
      </c>
      <c r="I49">
        <v>4</v>
      </c>
      <c r="J49">
        <v>4</v>
      </c>
      <c r="K49">
        <v>4</v>
      </c>
      <c r="L49">
        <v>4</v>
      </c>
      <c r="M49">
        <v>4</v>
      </c>
      <c r="N49">
        <v>0</v>
      </c>
      <c r="O49">
        <v>2</v>
      </c>
      <c r="P49">
        <v>4</v>
      </c>
      <c r="Q49">
        <v>4</v>
      </c>
      <c r="R49">
        <v>2</v>
      </c>
      <c r="S49">
        <v>1</v>
      </c>
      <c r="T49">
        <v>4</v>
      </c>
      <c r="U49">
        <v>4</v>
      </c>
      <c r="V49">
        <v>3</v>
      </c>
      <c r="W49">
        <v>2</v>
      </c>
    </row>
    <row r="50" spans="1:23" x14ac:dyDescent="0.2">
      <c r="A50">
        <v>13</v>
      </c>
      <c r="B50">
        <v>6</v>
      </c>
      <c r="C50">
        <v>6</v>
      </c>
      <c r="D50">
        <v>6</v>
      </c>
      <c r="E50">
        <v>6</v>
      </c>
      <c r="F50">
        <v>6</v>
      </c>
      <c r="G50">
        <v>6</v>
      </c>
      <c r="H50">
        <v>6</v>
      </c>
      <c r="I50">
        <v>6</v>
      </c>
      <c r="J50">
        <v>5</v>
      </c>
      <c r="K50">
        <v>6</v>
      </c>
      <c r="L50">
        <v>6</v>
      </c>
      <c r="M50">
        <v>6</v>
      </c>
      <c r="N50">
        <v>0</v>
      </c>
      <c r="O50">
        <v>5</v>
      </c>
      <c r="P50">
        <v>6</v>
      </c>
      <c r="Q50">
        <v>6</v>
      </c>
      <c r="R50">
        <v>1</v>
      </c>
      <c r="S50">
        <v>5</v>
      </c>
      <c r="T50">
        <v>6</v>
      </c>
      <c r="U50">
        <v>6</v>
      </c>
      <c r="V50">
        <v>6</v>
      </c>
      <c r="W50">
        <v>0</v>
      </c>
    </row>
    <row r="51" spans="1:23" x14ac:dyDescent="0.2">
      <c r="A51">
        <v>14</v>
      </c>
      <c r="B51">
        <v>5</v>
      </c>
      <c r="C51">
        <v>5</v>
      </c>
      <c r="D51">
        <v>5</v>
      </c>
      <c r="E51">
        <v>5</v>
      </c>
      <c r="F51">
        <v>5</v>
      </c>
      <c r="G51">
        <v>5</v>
      </c>
      <c r="H51">
        <v>4</v>
      </c>
      <c r="I51">
        <v>5</v>
      </c>
      <c r="J51">
        <v>4</v>
      </c>
      <c r="K51">
        <v>5</v>
      </c>
      <c r="L51">
        <v>5</v>
      </c>
      <c r="M51">
        <v>5</v>
      </c>
      <c r="N51">
        <v>0</v>
      </c>
      <c r="O51">
        <v>4</v>
      </c>
      <c r="P51">
        <v>5</v>
      </c>
      <c r="Q51">
        <v>5</v>
      </c>
      <c r="R51">
        <v>5</v>
      </c>
      <c r="S51">
        <v>4</v>
      </c>
      <c r="T51">
        <v>5</v>
      </c>
      <c r="U51">
        <v>3</v>
      </c>
      <c r="V51">
        <v>5</v>
      </c>
      <c r="W51">
        <v>1</v>
      </c>
    </row>
    <row r="52" spans="1:23" x14ac:dyDescent="0.2">
      <c r="A52">
        <v>15</v>
      </c>
      <c r="B52">
        <v>4</v>
      </c>
      <c r="C52">
        <v>4</v>
      </c>
      <c r="D52">
        <v>2</v>
      </c>
      <c r="E52">
        <v>4</v>
      </c>
      <c r="F52">
        <v>4</v>
      </c>
      <c r="G52">
        <v>4</v>
      </c>
      <c r="H52">
        <v>4</v>
      </c>
      <c r="I52">
        <v>4</v>
      </c>
      <c r="J52">
        <v>2</v>
      </c>
      <c r="K52">
        <v>4</v>
      </c>
      <c r="L52">
        <v>4</v>
      </c>
      <c r="M52">
        <v>4</v>
      </c>
      <c r="N52">
        <v>0</v>
      </c>
      <c r="O52">
        <v>1</v>
      </c>
      <c r="P52">
        <v>4</v>
      </c>
      <c r="Q52">
        <v>4</v>
      </c>
      <c r="R52">
        <v>4</v>
      </c>
      <c r="S52">
        <v>4</v>
      </c>
      <c r="T52">
        <v>4</v>
      </c>
      <c r="U52">
        <v>3</v>
      </c>
      <c r="V52">
        <v>4</v>
      </c>
      <c r="W52">
        <v>0</v>
      </c>
    </row>
    <row r="53" spans="1:23" x14ac:dyDescent="0.2">
      <c r="A53" s="1" t="s">
        <v>76</v>
      </c>
      <c r="B53">
        <f t="shared" ref="B53:W53" si="6">SUM(B38:B52)</f>
        <v>100</v>
      </c>
      <c r="C53">
        <f t="shared" si="6"/>
        <v>93</v>
      </c>
      <c r="D53">
        <f t="shared" si="6"/>
        <v>81</v>
      </c>
      <c r="E53">
        <f t="shared" si="6"/>
        <v>97</v>
      </c>
      <c r="F53">
        <f t="shared" si="6"/>
        <v>98</v>
      </c>
      <c r="G53">
        <f t="shared" si="6"/>
        <v>76</v>
      </c>
      <c r="H53">
        <f t="shared" si="6"/>
        <v>94</v>
      </c>
      <c r="I53">
        <f t="shared" si="6"/>
        <v>94</v>
      </c>
      <c r="J53">
        <f t="shared" si="6"/>
        <v>85</v>
      </c>
      <c r="K53">
        <f t="shared" si="6"/>
        <v>92</v>
      </c>
      <c r="L53">
        <f t="shared" si="6"/>
        <v>93</v>
      </c>
      <c r="M53">
        <f t="shared" si="6"/>
        <v>100</v>
      </c>
      <c r="N53">
        <f t="shared" si="6"/>
        <v>51</v>
      </c>
      <c r="O53">
        <f t="shared" si="6"/>
        <v>78</v>
      </c>
      <c r="P53">
        <f t="shared" si="6"/>
        <v>100</v>
      </c>
      <c r="Q53">
        <f t="shared" si="6"/>
        <v>94</v>
      </c>
      <c r="R53">
        <f t="shared" si="6"/>
        <v>70</v>
      </c>
      <c r="S53">
        <f t="shared" si="6"/>
        <v>90</v>
      </c>
      <c r="T53">
        <f t="shared" si="6"/>
        <v>86</v>
      </c>
      <c r="U53">
        <f t="shared" si="6"/>
        <v>78</v>
      </c>
      <c r="V53">
        <f t="shared" si="6"/>
        <v>72</v>
      </c>
      <c r="W53">
        <f t="shared" si="6"/>
        <v>20</v>
      </c>
    </row>
    <row r="55" spans="1:23" x14ac:dyDescent="0.2">
      <c r="B55" s="1" t="s">
        <v>62</v>
      </c>
      <c r="C55" s="1" t="s">
        <v>77</v>
      </c>
      <c r="D55" s="1" t="s">
        <v>78</v>
      </c>
      <c r="E55" s="1" t="s">
        <v>79</v>
      </c>
      <c r="F55" s="1" t="s">
        <v>80</v>
      </c>
      <c r="G55" s="1" t="s">
        <v>81</v>
      </c>
      <c r="H55" s="1" t="s">
        <v>82</v>
      </c>
      <c r="I55" s="1" t="s">
        <v>83</v>
      </c>
      <c r="J55" s="1" t="s">
        <v>84</v>
      </c>
      <c r="K55" s="1" t="s">
        <v>85</v>
      </c>
      <c r="L55" s="1" t="s">
        <v>86</v>
      </c>
      <c r="M55" s="1" t="s">
        <v>87</v>
      </c>
      <c r="N55" s="1" t="s">
        <v>88</v>
      </c>
      <c r="O55" s="1" t="s">
        <v>89</v>
      </c>
      <c r="P55" s="1" t="s">
        <v>90</v>
      </c>
      <c r="Q55" s="1" t="s">
        <v>91</v>
      </c>
      <c r="R55" s="1" t="s">
        <v>92</v>
      </c>
      <c r="S55" s="1" t="s">
        <v>93</v>
      </c>
      <c r="T55" s="1" t="s">
        <v>94</v>
      </c>
      <c r="U55" s="1" t="s">
        <v>95</v>
      </c>
      <c r="V55" s="1" t="s">
        <v>96</v>
      </c>
      <c r="W55" s="1" t="s">
        <v>97</v>
      </c>
    </row>
    <row r="56" spans="1:23" x14ac:dyDescent="0.2">
      <c r="A56">
        <v>1</v>
      </c>
      <c r="B56">
        <v>10</v>
      </c>
      <c r="C56">
        <v>10</v>
      </c>
      <c r="D56">
        <v>10</v>
      </c>
      <c r="E56">
        <v>10</v>
      </c>
      <c r="F56">
        <v>10</v>
      </c>
      <c r="G56">
        <v>6</v>
      </c>
      <c r="H56">
        <v>9</v>
      </c>
      <c r="I56">
        <v>10</v>
      </c>
      <c r="J56">
        <v>9</v>
      </c>
      <c r="K56">
        <v>10</v>
      </c>
      <c r="L56">
        <v>9</v>
      </c>
      <c r="M56">
        <v>10</v>
      </c>
      <c r="N56">
        <v>7</v>
      </c>
      <c r="O56">
        <v>10</v>
      </c>
      <c r="P56">
        <v>10</v>
      </c>
      <c r="Q56">
        <v>10</v>
      </c>
      <c r="R56">
        <v>4</v>
      </c>
      <c r="S56">
        <v>10</v>
      </c>
      <c r="T56">
        <v>10</v>
      </c>
      <c r="U56">
        <v>6</v>
      </c>
      <c r="V56">
        <v>7</v>
      </c>
      <c r="W56">
        <v>0</v>
      </c>
    </row>
    <row r="57" spans="1:23" x14ac:dyDescent="0.2">
      <c r="A57">
        <v>2</v>
      </c>
      <c r="B57">
        <v>8</v>
      </c>
      <c r="C57">
        <v>8</v>
      </c>
      <c r="D57">
        <v>8</v>
      </c>
      <c r="E57">
        <v>7</v>
      </c>
      <c r="F57">
        <v>8</v>
      </c>
      <c r="G57">
        <v>8</v>
      </c>
      <c r="H57">
        <v>6</v>
      </c>
      <c r="I57">
        <v>8</v>
      </c>
      <c r="J57">
        <v>8</v>
      </c>
      <c r="K57">
        <v>8</v>
      </c>
      <c r="L57">
        <v>6</v>
      </c>
      <c r="M57">
        <v>5</v>
      </c>
      <c r="N57">
        <v>6</v>
      </c>
      <c r="O57">
        <v>8</v>
      </c>
      <c r="P57">
        <v>6</v>
      </c>
      <c r="Q57">
        <v>8</v>
      </c>
      <c r="R57">
        <v>6</v>
      </c>
      <c r="S57">
        <v>8</v>
      </c>
      <c r="T57">
        <v>8</v>
      </c>
      <c r="U57">
        <v>8</v>
      </c>
      <c r="V57">
        <v>8</v>
      </c>
      <c r="W57">
        <v>4</v>
      </c>
    </row>
    <row r="58" spans="1:23" x14ac:dyDescent="0.2">
      <c r="A58">
        <v>3</v>
      </c>
      <c r="B58">
        <v>16</v>
      </c>
      <c r="C58">
        <v>16</v>
      </c>
      <c r="D58">
        <v>15</v>
      </c>
      <c r="E58">
        <v>16</v>
      </c>
      <c r="F58">
        <v>16</v>
      </c>
      <c r="G58">
        <v>16</v>
      </c>
      <c r="H58">
        <v>16</v>
      </c>
      <c r="I58">
        <v>16</v>
      </c>
      <c r="J58">
        <v>15</v>
      </c>
      <c r="K58">
        <v>16</v>
      </c>
      <c r="L58">
        <v>16</v>
      </c>
      <c r="M58">
        <v>16</v>
      </c>
      <c r="N58">
        <v>15</v>
      </c>
      <c r="O58">
        <v>16</v>
      </c>
      <c r="P58">
        <v>16</v>
      </c>
      <c r="Q58">
        <v>16</v>
      </c>
      <c r="R58">
        <v>12</v>
      </c>
      <c r="S58">
        <v>15</v>
      </c>
      <c r="T58">
        <v>16</v>
      </c>
      <c r="U58">
        <v>13</v>
      </c>
      <c r="V58">
        <v>16</v>
      </c>
      <c r="W58">
        <v>1</v>
      </c>
    </row>
    <row r="59" spans="1:23" x14ac:dyDescent="0.2">
      <c r="A59">
        <v>4</v>
      </c>
      <c r="B59">
        <v>6</v>
      </c>
      <c r="C59">
        <v>6</v>
      </c>
      <c r="D59">
        <v>6</v>
      </c>
      <c r="E59">
        <v>6</v>
      </c>
      <c r="F59">
        <v>5</v>
      </c>
      <c r="G59">
        <v>4</v>
      </c>
      <c r="H59">
        <v>6</v>
      </c>
      <c r="I59">
        <v>6</v>
      </c>
      <c r="J59">
        <v>4</v>
      </c>
      <c r="K59">
        <v>6</v>
      </c>
      <c r="L59">
        <v>6</v>
      </c>
      <c r="M59">
        <v>6</v>
      </c>
      <c r="N59">
        <v>6</v>
      </c>
      <c r="O59">
        <v>6</v>
      </c>
      <c r="P59">
        <v>6</v>
      </c>
      <c r="Q59">
        <v>6</v>
      </c>
      <c r="R59">
        <v>4</v>
      </c>
      <c r="S59">
        <v>6</v>
      </c>
      <c r="T59">
        <v>6</v>
      </c>
      <c r="U59">
        <v>5</v>
      </c>
      <c r="V59">
        <v>6</v>
      </c>
      <c r="W59">
        <v>0</v>
      </c>
    </row>
    <row r="60" spans="1:23" x14ac:dyDescent="0.2">
      <c r="A60">
        <v>5</v>
      </c>
      <c r="B60">
        <v>8</v>
      </c>
      <c r="C60">
        <v>8</v>
      </c>
      <c r="D60">
        <v>8</v>
      </c>
      <c r="E60">
        <v>8</v>
      </c>
      <c r="F60">
        <v>8</v>
      </c>
      <c r="G60">
        <v>7</v>
      </c>
      <c r="H60">
        <v>8</v>
      </c>
      <c r="I60">
        <v>8</v>
      </c>
      <c r="J60">
        <v>8</v>
      </c>
      <c r="K60">
        <v>8</v>
      </c>
      <c r="L60">
        <v>8</v>
      </c>
      <c r="M60">
        <v>8</v>
      </c>
      <c r="N60">
        <v>7</v>
      </c>
      <c r="O60">
        <v>8</v>
      </c>
      <c r="P60">
        <v>7</v>
      </c>
      <c r="Q60">
        <v>8</v>
      </c>
      <c r="R60">
        <v>6</v>
      </c>
      <c r="S60">
        <v>8</v>
      </c>
      <c r="T60">
        <v>7</v>
      </c>
      <c r="U60">
        <v>8</v>
      </c>
      <c r="V60">
        <v>8</v>
      </c>
      <c r="W60">
        <v>0</v>
      </c>
    </row>
    <row r="61" spans="1:23" x14ac:dyDescent="0.2">
      <c r="A61">
        <v>6</v>
      </c>
      <c r="B61">
        <v>4</v>
      </c>
      <c r="C61">
        <v>4</v>
      </c>
      <c r="D61">
        <v>4</v>
      </c>
      <c r="E61">
        <v>4</v>
      </c>
      <c r="F61">
        <v>4</v>
      </c>
      <c r="G61">
        <v>4</v>
      </c>
      <c r="H61">
        <v>4</v>
      </c>
      <c r="I61">
        <v>4</v>
      </c>
      <c r="J61">
        <v>3</v>
      </c>
      <c r="K61">
        <v>4</v>
      </c>
      <c r="L61">
        <v>4</v>
      </c>
      <c r="M61">
        <v>4</v>
      </c>
      <c r="N61">
        <v>4</v>
      </c>
      <c r="O61">
        <v>4</v>
      </c>
      <c r="P61">
        <v>4</v>
      </c>
      <c r="Q61">
        <v>4</v>
      </c>
      <c r="R61">
        <v>4</v>
      </c>
      <c r="S61">
        <v>4</v>
      </c>
      <c r="T61">
        <v>2</v>
      </c>
      <c r="U61">
        <v>4</v>
      </c>
      <c r="V61">
        <v>4</v>
      </c>
      <c r="W61">
        <v>3</v>
      </c>
    </row>
    <row r="62" spans="1:23" x14ac:dyDescent="0.2">
      <c r="A62">
        <v>7</v>
      </c>
      <c r="B62">
        <v>8</v>
      </c>
      <c r="C62">
        <v>7</v>
      </c>
      <c r="D62">
        <v>6</v>
      </c>
      <c r="E62">
        <v>8</v>
      </c>
      <c r="F62">
        <v>8</v>
      </c>
      <c r="G62">
        <v>6</v>
      </c>
      <c r="H62">
        <v>5</v>
      </c>
      <c r="I62">
        <v>8</v>
      </c>
      <c r="J62">
        <v>6</v>
      </c>
      <c r="K62">
        <v>8</v>
      </c>
      <c r="L62">
        <v>8</v>
      </c>
      <c r="M62">
        <v>7</v>
      </c>
      <c r="N62">
        <v>4</v>
      </c>
      <c r="O62">
        <v>5</v>
      </c>
      <c r="P62">
        <v>8</v>
      </c>
      <c r="Q62">
        <v>8</v>
      </c>
      <c r="R62">
        <v>5</v>
      </c>
      <c r="S62">
        <v>4</v>
      </c>
      <c r="T62">
        <v>6</v>
      </c>
      <c r="U62">
        <v>3</v>
      </c>
      <c r="V62">
        <v>6</v>
      </c>
      <c r="W62">
        <v>1</v>
      </c>
    </row>
    <row r="63" spans="1:23" x14ac:dyDescent="0.2">
      <c r="A63">
        <v>8</v>
      </c>
      <c r="B63">
        <v>3</v>
      </c>
      <c r="C63">
        <v>2</v>
      </c>
      <c r="D63">
        <v>3</v>
      </c>
      <c r="E63">
        <v>3</v>
      </c>
      <c r="F63">
        <v>3</v>
      </c>
      <c r="G63">
        <v>3</v>
      </c>
      <c r="H63">
        <v>3</v>
      </c>
      <c r="I63">
        <v>3</v>
      </c>
      <c r="J63">
        <v>3</v>
      </c>
      <c r="K63">
        <v>3</v>
      </c>
      <c r="L63">
        <v>3</v>
      </c>
      <c r="M63">
        <v>1</v>
      </c>
      <c r="N63">
        <v>1</v>
      </c>
      <c r="O63">
        <v>1</v>
      </c>
      <c r="P63">
        <v>3</v>
      </c>
      <c r="Q63">
        <v>3</v>
      </c>
      <c r="R63">
        <v>3</v>
      </c>
      <c r="S63">
        <v>2</v>
      </c>
      <c r="T63">
        <v>2</v>
      </c>
      <c r="U63">
        <v>3</v>
      </c>
      <c r="V63">
        <v>3</v>
      </c>
      <c r="W63">
        <v>1</v>
      </c>
    </row>
    <row r="64" spans="1:23" x14ac:dyDescent="0.2">
      <c r="A64">
        <v>9</v>
      </c>
      <c r="B64">
        <v>5</v>
      </c>
      <c r="C64">
        <v>3</v>
      </c>
      <c r="D64">
        <v>4</v>
      </c>
      <c r="E64">
        <v>4</v>
      </c>
      <c r="F64">
        <v>5</v>
      </c>
      <c r="G64">
        <v>2</v>
      </c>
      <c r="H64">
        <v>4</v>
      </c>
      <c r="I64">
        <v>5</v>
      </c>
      <c r="J64">
        <v>5</v>
      </c>
      <c r="K64">
        <v>5</v>
      </c>
      <c r="L64">
        <v>5</v>
      </c>
      <c r="M64">
        <v>3</v>
      </c>
      <c r="N64">
        <v>5</v>
      </c>
      <c r="O64">
        <v>4</v>
      </c>
      <c r="P64">
        <v>5</v>
      </c>
      <c r="Q64">
        <v>5</v>
      </c>
      <c r="R64">
        <v>3</v>
      </c>
      <c r="S64">
        <v>4</v>
      </c>
      <c r="T64">
        <v>5</v>
      </c>
      <c r="U64">
        <v>4</v>
      </c>
      <c r="V64">
        <v>2</v>
      </c>
      <c r="W64">
        <v>1</v>
      </c>
    </row>
    <row r="65" spans="1:23" x14ac:dyDescent="0.2">
      <c r="A65">
        <v>10</v>
      </c>
      <c r="B65">
        <v>8</v>
      </c>
      <c r="C65">
        <v>8</v>
      </c>
      <c r="D65">
        <v>6</v>
      </c>
      <c r="E65">
        <v>8</v>
      </c>
      <c r="F65">
        <v>8</v>
      </c>
      <c r="G65">
        <v>6</v>
      </c>
      <c r="H65">
        <v>6</v>
      </c>
      <c r="I65">
        <v>8</v>
      </c>
      <c r="J65">
        <v>7</v>
      </c>
      <c r="K65">
        <v>7</v>
      </c>
      <c r="L65">
        <v>8</v>
      </c>
      <c r="M65">
        <v>7</v>
      </c>
      <c r="N65">
        <v>6</v>
      </c>
      <c r="O65">
        <v>5</v>
      </c>
      <c r="P65">
        <v>8</v>
      </c>
      <c r="Q65">
        <v>8</v>
      </c>
      <c r="R65">
        <v>4</v>
      </c>
      <c r="S65">
        <v>3</v>
      </c>
      <c r="T65">
        <v>8</v>
      </c>
      <c r="U65">
        <v>6</v>
      </c>
      <c r="V65">
        <v>3</v>
      </c>
      <c r="W65">
        <v>1</v>
      </c>
    </row>
    <row r="66" spans="1:23" x14ac:dyDescent="0.2">
      <c r="A66">
        <v>11</v>
      </c>
      <c r="B66">
        <v>8</v>
      </c>
      <c r="C66">
        <v>8</v>
      </c>
      <c r="D66">
        <v>7</v>
      </c>
      <c r="E66">
        <v>8</v>
      </c>
      <c r="F66">
        <v>8</v>
      </c>
      <c r="G66">
        <v>8</v>
      </c>
      <c r="H66">
        <v>8</v>
      </c>
      <c r="I66">
        <v>8</v>
      </c>
      <c r="J66">
        <v>8</v>
      </c>
      <c r="K66">
        <v>6</v>
      </c>
      <c r="L66">
        <v>8</v>
      </c>
      <c r="M66">
        <v>8</v>
      </c>
      <c r="N66">
        <v>4</v>
      </c>
      <c r="O66">
        <v>8</v>
      </c>
      <c r="P66">
        <v>8</v>
      </c>
      <c r="Q66">
        <v>8</v>
      </c>
      <c r="R66">
        <v>5</v>
      </c>
      <c r="S66">
        <v>5</v>
      </c>
      <c r="T66">
        <v>8</v>
      </c>
      <c r="U66">
        <v>7</v>
      </c>
      <c r="V66">
        <v>8</v>
      </c>
      <c r="W66">
        <v>0</v>
      </c>
    </row>
    <row r="67" spans="1:23" x14ac:dyDescent="0.2">
      <c r="A67">
        <v>12</v>
      </c>
      <c r="B67">
        <v>4</v>
      </c>
      <c r="C67">
        <v>4</v>
      </c>
      <c r="D67">
        <v>2</v>
      </c>
      <c r="E67">
        <v>4</v>
      </c>
      <c r="F67">
        <v>4</v>
      </c>
      <c r="G67">
        <v>4</v>
      </c>
      <c r="H67">
        <v>4</v>
      </c>
      <c r="I67">
        <v>4</v>
      </c>
      <c r="J67">
        <v>4</v>
      </c>
      <c r="K67">
        <v>4</v>
      </c>
      <c r="L67">
        <v>4</v>
      </c>
      <c r="M67">
        <v>3</v>
      </c>
      <c r="N67">
        <v>3</v>
      </c>
      <c r="O67">
        <v>4</v>
      </c>
      <c r="P67">
        <v>3</v>
      </c>
      <c r="Q67">
        <v>4</v>
      </c>
      <c r="R67">
        <v>4</v>
      </c>
      <c r="S67">
        <v>3</v>
      </c>
      <c r="T67">
        <v>4</v>
      </c>
      <c r="U67">
        <v>2</v>
      </c>
      <c r="V67">
        <v>4</v>
      </c>
      <c r="W67">
        <v>2</v>
      </c>
    </row>
    <row r="68" spans="1:23" x14ac:dyDescent="0.2">
      <c r="A68">
        <v>13</v>
      </c>
      <c r="B68">
        <v>6</v>
      </c>
      <c r="C68">
        <v>5</v>
      </c>
      <c r="D68">
        <v>4</v>
      </c>
      <c r="E68">
        <v>6</v>
      </c>
      <c r="F68">
        <v>6</v>
      </c>
      <c r="G68">
        <v>6</v>
      </c>
      <c r="H68">
        <v>6</v>
      </c>
      <c r="I68">
        <v>6</v>
      </c>
      <c r="J68">
        <v>3</v>
      </c>
      <c r="K68">
        <v>6</v>
      </c>
      <c r="L68">
        <v>6</v>
      </c>
      <c r="M68">
        <v>6</v>
      </c>
      <c r="N68">
        <v>2</v>
      </c>
      <c r="O68">
        <v>5</v>
      </c>
      <c r="P68">
        <v>6</v>
      </c>
      <c r="Q68">
        <v>6</v>
      </c>
      <c r="R68">
        <v>2</v>
      </c>
      <c r="S68">
        <v>4</v>
      </c>
      <c r="T68">
        <v>6</v>
      </c>
      <c r="U68">
        <v>6</v>
      </c>
      <c r="V68">
        <v>6</v>
      </c>
      <c r="W68">
        <v>1</v>
      </c>
    </row>
    <row r="69" spans="1:23" x14ac:dyDescent="0.2">
      <c r="A69">
        <v>14</v>
      </c>
      <c r="B69">
        <v>6</v>
      </c>
      <c r="C69">
        <v>4</v>
      </c>
      <c r="D69">
        <v>4</v>
      </c>
      <c r="E69">
        <v>6</v>
      </c>
      <c r="F69">
        <v>6</v>
      </c>
      <c r="G69">
        <v>6</v>
      </c>
      <c r="H69">
        <v>5</v>
      </c>
      <c r="I69">
        <v>6</v>
      </c>
      <c r="J69">
        <v>2</v>
      </c>
      <c r="K69">
        <v>4</v>
      </c>
      <c r="L69">
        <v>3</v>
      </c>
      <c r="M69">
        <v>6</v>
      </c>
      <c r="N69">
        <v>2</v>
      </c>
      <c r="O69">
        <v>4</v>
      </c>
      <c r="P69">
        <v>6</v>
      </c>
      <c r="Q69">
        <v>6</v>
      </c>
      <c r="R69">
        <v>3</v>
      </c>
      <c r="S69">
        <v>5</v>
      </c>
      <c r="T69">
        <v>5</v>
      </c>
      <c r="U69">
        <v>6</v>
      </c>
      <c r="V69">
        <v>5</v>
      </c>
      <c r="W69">
        <v>2</v>
      </c>
    </row>
    <row r="70" spans="1:23" x14ac:dyDescent="0.2">
      <c r="A70" s="1" t="s">
        <v>76</v>
      </c>
      <c r="B70">
        <f t="shared" ref="B70:W70" si="7">SUM(B56:B69)</f>
        <v>100</v>
      </c>
      <c r="C70">
        <f t="shared" si="7"/>
        <v>93</v>
      </c>
      <c r="D70">
        <f t="shared" si="7"/>
        <v>87</v>
      </c>
      <c r="E70">
        <f t="shared" si="7"/>
        <v>98</v>
      </c>
      <c r="F70">
        <f t="shared" si="7"/>
        <v>99</v>
      </c>
      <c r="G70">
        <f t="shared" si="7"/>
        <v>86</v>
      </c>
      <c r="H70">
        <f t="shared" si="7"/>
        <v>90</v>
      </c>
      <c r="I70">
        <f t="shared" si="7"/>
        <v>100</v>
      </c>
      <c r="J70">
        <f t="shared" si="7"/>
        <v>85</v>
      </c>
      <c r="K70">
        <f t="shared" si="7"/>
        <v>95</v>
      </c>
      <c r="L70">
        <f t="shared" si="7"/>
        <v>94</v>
      </c>
      <c r="M70">
        <f t="shared" si="7"/>
        <v>90</v>
      </c>
      <c r="N70">
        <f t="shared" si="7"/>
        <v>72</v>
      </c>
      <c r="O70">
        <f t="shared" si="7"/>
        <v>88</v>
      </c>
      <c r="P70">
        <f t="shared" si="7"/>
        <v>96</v>
      </c>
      <c r="Q70">
        <f t="shared" si="7"/>
        <v>100</v>
      </c>
      <c r="R70">
        <f t="shared" si="7"/>
        <v>65</v>
      </c>
      <c r="S70">
        <f t="shared" si="7"/>
        <v>81</v>
      </c>
      <c r="T70">
        <f t="shared" si="7"/>
        <v>93</v>
      </c>
      <c r="U70">
        <f t="shared" si="7"/>
        <v>81</v>
      </c>
      <c r="V70">
        <f t="shared" si="7"/>
        <v>86</v>
      </c>
      <c r="W70">
        <f t="shared" si="7"/>
        <v>17</v>
      </c>
    </row>
    <row r="72" spans="1:23" x14ac:dyDescent="0.2">
      <c r="B72" s="1" t="s">
        <v>63</v>
      </c>
      <c r="C72" s="1" t="s">
        <v>77</v>
      </c>
      <c r="D72" s="1" t="s">
        <v>78</v>
      </c>
      <c r="E72" s="1" t="s">
        <v>79</v>
      </c>
      <c r="F72" s="1" t="s">
        <v>80</v>
      </c>
      <c r="G72" s="1" t="s">
        <v>81</v>
      </c>
      <c r="H72" s="1" t="s">
        <v>82</v>
      </c>
      <c r="I72" s="1" t="s">
        <v>83</v>
      </c>
      <c r="J72" s="1" t="s">
        <v>84</v>
      </c>
      <c r="K72" s="1" t="s">
        <v>85</v>
      </c>
      <c r="L72" s="1" t="s">
        <v>86</v>
      </c>
      <c r="M72" s="1" t="s">
        <v>87</v>
      </c>
      <c r="N72" s="1" t="s">
        <v>88</v>
      </c>
      <c r="O72" s="1" t="s">
        <v>89</v>
      </c>
      <c r="P72" s="1" t="s">
        <v>90</v>
      </c>
      <c r="Q72" s="1" t="s">
        <v>91</v>
      </c>
      <c r="R72" s="1" t="s">
        <v>92</v>
      </c>
      <c r="S72" s="1" t="s">
        <v>93</v>
      </c>
      <c r="T72" s="1" t="s">
        <v>94</v>
      </c>
      <c r="U72" s="1" t="s">
        <v>95</v>
      </c>
      <c r="V72" s="1" t="s">
        <v>96</v>
      </c>
      <c r="W72" s="1" t="s">
        <v>97</v>
      </c>
    </row>
    <row r="73" spans="1:23" x14ac:dyDescent="0.2">
      <c r="A73">
        <v>1</v>
      </c>
      <c r="B73">
        <v>10</v>
      </c>
      <c r="C73">
        <v>10</v>
      </c>
      <c r="D73">
        <v>9</v>
      </c>
      <c r="E73">
        <v>9</v>
      </c>
      <c r="F73">
        <v>10</v>
      </c>
      <c r="G73">
        <v>3</v>
      </c>
      <c r="H73">
        <v>10</v>
      </c>
      <c r="I73">
        <v>10</v>
      </c>
      <c r="J73">
        <v>8</v>
      </c>
      <c r="K73">
        <v>6</v>
      </c>
      <c r="L73">
        <v>10</v>
      </c>
      <c r="M73">
        <v>9</v>
      </c>
      <c r="N73">
        <v>3</v>
      </c>
      <c r="O73">
        <v>7</v>
      </c>
      <c r="P73">
        <v>10</v>
      </c>
      <c r="Q73">
        <v>10</v>
      </c>
      <c r="S73">
        <v>9</v>
      </c>
      <c r="T73">
        <v>7</v>
      </c>
      <c r="U73">
        <v>9</v>
      </c>
      <c r="V73">
        <v>8</v>
      </c>
    </row>
    <row r="74" spans="1:23" x14ac:dyDescent="0.2">
      <c r="A74">
        <v>2</v>
      </c>
      <c r="B74">
        <v>8</v>
      </c>
      <c r="C74">
        <v>8</v>
      </c>
      <c r="D74">
        <v>7</v>
      </c>
      <c r="E74">
        <v>8</v>
      </c>
      <c r="F74">
        <v>8</v>
      </c>
      <c r="G74">
        <v>6</v>
      </c>
      <c r="H74">
        <v>8</v>
      </c>
      <c r="I74">
        <v>8</v>
      </c>
      <c r="J74">
        <v>6</v>
      </c>
      <c r="K74">
        <v>6</v>
      </c>
      <c r="L74">
        <v>7</v>
      </c>
      <c r="M74">
        <v>8</v>
      </c>
      <c r="N74">
        <v>5</v>
      </c>
      <c r="O74">
        <v>5</v>
      </c>
      <c r="P74">
        <v>8</v>
      </c>
      <c r="Q74">
        <v>8</v>
      </c>
      <c r="S74">
        <v>8</v>
      </c>
      <c r="T74">
        <v>5</v>
      </c>
      <c r="U74">
        <v>6</v>
      </c>
      <c r="V74">
        <v>8</v>
      </c>
    </row>
    <row r="75" spans="1:23" x14ac:dyDescent="0.2">
      <c r="A75">
        <v>3</v>
      </c>
      <c r="B75">
        <v>8</v>
      </c>
      <c r="C75">
        <v>6</v>
      </c>
      <c r="D75">
        <v>4</v>
      </c>
      <c r="E75">
        <v>8</v>
      </c>
      <c r="F75">
        <v>8</v>
      </c>
      <c r="G75">
        <v>3</v>
      </c>
      <c r="H75">
        <v>8</v>
      </c>
      <c r="I75">
        <v>6</v>
      </c>
      <c r="J75">
        <v>7</v>
      </c>
      <c r="K75">
        <v>8</v>
      </c>
      <c r="L75">
        <v>6</v>
      </c>
      <c r="M75">
        <v>6</v>
      </c>
      <c r="N75">
        <v>4</v>
      </c>
      <c r="O75">
        <v>8</v>
      </c>
      <c r="P75">
        <v>8</v>
      </c>
      <c r="Q75">
        <v>5</v>
      </c>
      <c r="S75">
        <v>8</v>
      </c>
      <c r="T75">
        <v>6</v>
      </c>
      <c r="U75">
        <v>4</v>
      </c>
      <c r="V75">
        <v>6</v>
      </c>
    </row>
    <row r="76" spans="1:23" x14ac:dyDescent="0.2">
      <c r="A76">
        <v>4</v>
      </c>
      <c r="B76">
        <v>4</v>
      </c>
      <c r="C76">
        <v>4</v>
      </c>
      <c r="D76">
        <v>3</v>
      </c>
      <c r="E76">
        <v>4</v>
      </c>
      <c r="F76">
        <v>4</v>
      </c>
      <c r="G76">
        <v>4</v>
      </c>
      <c r="H76">
        <v>4</v>
      </c>
      <c r="I76">
        <v>4</v>
      </c>
      <c r="J76">
        <v>4</v>
      </c>
      <c r="K76">
        <v>4</v>
      </c>
      <c r="L76">
        <v>4</v>
      </c>
      <c r="M76">
        <v>4</v>
      </c>
      <c r="N76">
        <v>3</v>
      </c>
      <c r="O76">
        <v>4</v>
      </c>
      <c r="P76">
        <v>4</v>
      </c>
      <c r="Q76">
        <v>4</v>
      </c>
      <c r="S76">
        <v>4</v>
      </c>
      <c r="T76">
        <v>4</v>
      </c>
      <c r="U76">
        <v>4</v>
      </c>
      <c r="V76">
        <v>4</v>
      </c>
    </row>
    <row r="77" spans="1:23" x14ac:dyDescent="0.2">
      <c r="A77">
        <v>5</v>
      </c>
      <c r="B77">
        <v>5</v>
      </c>
      <c r="C77">
        <v>4</v>
      </c>
      <c r="D77">
        <v>3</v>
      </c>
      <c r="E77">
        <v>4</v>
      </c>
      <c r="F77">
        <v>5</v>
      </c>
      <c r="G77">
        <v>4</v>
      </c>
      <c r="H77">
        <v>3</v>
      </c>
      <c r="I77">
        <v>5</v>
      </c>
      <c r="J77">
        <v>3</v>
      </c>
      <c r="K77">
        <v>5</v>
      </c>
      <c r="L77">
        <v>5</v>
      </c>
      <c r="M77">
        <v>4</v>
      </c>
      <c r="N77">
        <v>2</v>
      </c>
      <c r="O77">
        <v>4</v>
      </c>
      <c r="P77">
        <v>5</v>
      </c>
      <c r="Q77">
        <v>5</v>
      </c>
      <c r="S77">
        <v>4</v>
      </c>
      <c r="T77">
        <v>4</v>
      </c>
      <c r="U77">
        <v>3</v>
      </c>
      <c r="V77">
        <v>3</v>
      </c>
    </row>
    <row r="78" spans="1:23" x14ac:dyDescent="0.2">
      <c r="A78">
        <v>6</v>
      </c>
      <c r="B78">
        <v>3</v>
      </c>
      <c r="C78">
        <v>3</v>
      </c>
      <c r="D78">
        <v>3</v>
      </c>
      <c r="E78">
        <v>2</v>
      </c>
      <c r="F78">
        <v>3</v>
      </c>
      <c r="G78">
        <v>0</v>
      </c>
      <c r="H78">
        <v>2</v>
      </c>
      <c r="I78">
        <v>3</v>
      </c>
      <c r="J78">
        <v>3</v>
      </c>
      <c r="K78">
        <v>3</v>
      </c>
      <c r="L78">
        <v>3</v>
      </c>
      <c r="M78">
        <v>3</v>
      </c>
      <c r="N78">
        <v>3</v>
      </c>
      <c r="O78">
        <v>2</v>
      </c>
      <c r="P78">
        <v>3</v>
      </c>
      <c r="Q78">
        <v>3</v>
      </c>
      <c r="S78">
        <v>3</v>
      </c>
      <c r="T78">
        <v>3</v>
      </c>
      <c r="U78">
        <v>3</v>
      </c>
      <c r="V78">
        <v>1</v>
      </c>
    </row>
    <row r="79" spans="1:23" x14ac:dyDescent="0.2">
      <c r="A79">
        <v>7</v>
      </c>
      <c r="B79">
        <v>10</v>
      </c>
      <c r="C79">
        <v>10</v>
      </c>
      <c r="D79">
        <v>10</v>
      </c>
      <c r="E79">
        <v>10</v>
      </c>
      <c r="F79">
        <v>10</v>
      </c>
      <c r="G79">
        <v>8</v>
      </c>
      <c r="H79">
        <v>10</v>
      </c>
      <c r="I79">
        <v>10</v>
      </c>
      <c r="J79">
        <v>10</v>
      </c>
      <c r="K79">
        <v>10</v>
      </c>
      <c r="L79">
        <v>10</v>
      </c>
      <c r="M79">
        <v>10</v>
      </c>
      <c r="N79">
        <v>4</v>
      </c>
      <c r="O79">
        <v>10</v>
      </c>
      <c r="P79">
        <v>10</v>
      </c>
      <c r="Q79">
        <v>10</v>
      </c>
      <c r="S79">
        <v>8</v>
      </c>
      <c r="T79">
        <v>10</v>
      </c>
      <c r="U79">
        <v>10</v>
      </c>
      <c r="V79">
        <v>10</v>
      </c>
    </row>
    <row r="80" spans="1:23" x14ac:dyDescent="0.2">
      <c r="A80">
        <v>8</v>
      </c>
      <c r="B80">
        <v>8</v>
      </c>
      <c r="C80">
        <v>8</v>
      </c>
      <c r="D80">
        <v>7</v>
      </c>
      <c r="E80">
        <v>8</v>
      </c>
      <c r="F80">
        <v>8</v>
      </c>
      <c r="G80">
        <v>8</v>
      </c>
      <c r="H80">
        <v>6</v>
      </c>
      <c r="I80">
        <v>8</v>
      </c>
      <c r="J80">
        <v>5</v>
      </c>
      <c r="K80">
        <v>8</v>
      </c>
      <c r="L80">
        <v>8</v>
      </c>
      <c r="M80">
        <v>8</v>
      </c>
      <c r="N80">
        <v>4</v>
      </c>
      <c r="O80">
        <v>6</v>
      </c>
      <c r="P80">
        <v>8</v>
      </c>
      <c r="Q80">
        <v>8</v>
      </c>
      <c r="S80">
        <v>8</v>
      </c>
      <c r="T80">
        <v>8</v>
      </c>
      <c r="U80">
        <v>8</v>
      </c>
      <c r="V80">
        <v>8</v>
      </c>
    </row>
    <row r="81" spans="1:23" x14ac:dyDescent="0.2">
      <c r="A81">
        <v>9</v>
      </c>
      <c r="B81">
        <v>5</v>
      </c>
      <c r="C81">
        <v>4</v>
      </c>
      <c r="D81">
        <v>3</v>
      </c>
      <c r="E81">
        <v>5</v>
      </c>
      <c r="F81">
        <v>5</v>
      </c>
      <c r="G81">
        <v>2</v>
      </c>
      <c r="H81">
        <v>4</v>
      </c>
      <c r="I81">
        <v>5</v>
      </c>
      <c r="J81">
        <v>5</v>
      </c>
      <c r="K81">
        <v>4</v>
      </c>
      <c r="L81">
        <v>5</v>
      </c>
      <c r="M81">
        <v>4</v>
      </c>
      <c r="N81">
        <v>5</v>
      </c>
      <c r="O81">
        <v>5</v>
      </c>
      <c r="P81">
        <v>5</v>
      </c>
      <c r="Q81">
        <v>5</v>
      </c>
      <c r="S81">
        <v>5</v>
      </c>
      <c r="T81">
        <v>5</v>
      </c>
      <c r="U81">
        <v>5</v>
      </c>
      <c r="V81">
        <v>5</v>
      </c>
    </row>
    <row r="82" spans="1:23" x14ac:dyDescent="0.2">
      <c r="A82">
        <v>10</v>
      </c>
      <c r="B82">
        <v>8</v>
      </c>
      <c r="C82">
        <v>7</v>
      </c>
      <c r="D82">
        <v>8</v>
      </c>
      <c r="E82">
        <v>6</v>
      </c>
      <c r="F82">
        <v>8</v>
      </c>
      <c r="G82">
        <v>2</v>
      </c>
      <c r="H82">
        <v>8</v>
      </c>
      <c r="I82">
        <v>8</v>
      </c>
      <c r="J82">
        <v>7</v>
      </c>
      <c r="K82">
        <v>8</v>
      </c>
      <c r="L82">
        <v>8</v>
      </c>
      <c r="M82">
        <v>8</v>
      </c>
      <c r="N82">
        <v>4</v>
      </c>
      <c r="O82">
        <v>7</v>
      </c>
      <c r="P82">
        <v>8</v>
      </c>
      <c r="Q82">
        <v>8</v>
      </c>
      <c r="S82">
        <v>8</v>
      </c>
      <c r="T82">
        <v>8</v>
      </c>
      <c r="U82">
        <v>8</v>
      </c>
      <c r="V82">
        <v>7</v>
      </c>
    </row>
    <row r="83" spans="1:23" x14ac:dyDescent="0.2">
      <c r="A83">
        <v>11</v>
      </c>
      <c r="B83">
        <v>6</v>
      </c>
      <c r="C83">
        <v>4</v>
      </c>
      <c r="D83">
        <v>3</v>
      </c>
      <c r="E83">
        <v>6</v>
      </c>
      <c r="F83">
        <v>6</v>
      </c>
      <c r="G83">
        <v>5</v>
      </c>
      <c r="H83">
        <v>3</v>
      </c>
      <c r="I83">
        <v>6</v>
      </c>
      <c r="J83">
        <v>3</v>
      </c>
      <c r="K83">
        <v>6</v>
      </c>
      <c r="L83">
        <v>5</v>
      </c>
      <c r="M83">
        <v>4</v>
      </c>
      <c r="N83">
        <v>4</v>
      </c>
      <c r="O83">
        <v>4</v>
      </c>
      <c r="P83">
        <v>6</v>
      </c>
      <c r="Q83">
        <v>6</v>
      </c>
      <c r="S83">
        <v>5</v>
      </c>
      <c r="T83">
        <v>6</v>
      </c>
      <c r="U83">
        <v>4</v>
      </c>
      <c r="V83">
        <v>6</v>
      </c>
    </row>
    <row r="84" spans="1:23" x14ac:dyDescent="0.2">
      <c r="A84">
        <v>12</v>
      </c>
      <c r="B84">
        <v>8</v>
      </c>
      <c r="C84">
        <v>5</v>
      </c>
      <c r="D84">
        <v>0</v>
      </c>
      <c r="E84">
        <v>2</v>
      </c>
      <c r="F84">
        <v>8</v>
      </c>
      <c r="G84">
        <v>1</v>
      </c>
      <c r="H84">
        <v>2</v>
      </c>
      <c r="I84">
        <v>8</v>
      </c>
      <c r="J84">
        <v>1</v>
      </c>
      <c r="K84">
        <v>6</v>
      </c>
      <c r="L84">
        <v>8</v>
      </c>
      <c r="M84">
        <v>3</v>
      </c>
      <c r="N84">
        <v>5</v>
      </c>
      <c r="O84">
        <v>1</v>
      </c>
      <c r="P84">
        <v>8</v>
      </c>
      <c r="Q84">
        <v>7</v>
      </c>
      <c r="S84">
        <v>5</v>
      </c>
      <c r="T84">
        <v>5</v>
      </c>
      <c r="U84">
        <v>5</v>
      </c>
      <c r="V84">
        <v>3</v>
      </c>
    </row>
    <row r="85" spans="1:23" x14ac:dyDescent="0.2">
      <c r="A85">
        <v>13</v>
      </c>
      <c r="B85">
        <v>12</v>
      </c>
      <c r="C85">
        <v>11</v>
      </c>
      <c r="D85">
        <v>8</v>
      </c>
      <c r="E85">
        <v>12</v>
      </c>
      <c r="F85">
        <v>12</v>
      </c>
      <c r="G85">
        <v>7</v>
      </c>
      <c r="H85">
        <v>11</v>
      </c>
      <c r="I85">
        <v>12</v>
      </c>
      <c r="J85">
        <v>7</v>
      </c>
      <c r="K85">
        <v>10</v>
      </c>
      <c r="L85">
        <v>12</v>
      </c>
      <c r="M85">
        <v>11</v>
      </c>
      <c r="N85">
        <v>7</v>
      </c>
      <c r="O85">
        <v>8</v>
      </c>
      <c r="P85">
        <v>12</v>
      </c>
      <c r="Q85">
        <v>12</v>
      </c>
      <c r="S85">
        <v>10</v>
      </c>
      <c r="T85">
        <v>10</v>
      </c>
      <c r="U85">
        <v>9</v>
      </c>
      <c r="V85">
        <v>11</v>
      </c>
    </row>
    <row r="86" spans="1:23" x14ac:dyDescent="0.2">
      <c r="A86">
        <v>14</v>
      </c>
      <c r="B86">
        <v>5</v>
      </c>
      <c r="C86">
        <v>3</v>
      </c>
      <c r="D86">
        <v>4</v>
      </c>
      <c r="E86">
        <v>5</v>
      </c>
      <c r="F86">
        <v>5</v>
      </c>
      <c r="G86">
        <v>0</v>
      </c>
      <c r="H86">
        <v>5</v>
      </c>
      <c r="I86">
        <v>5</v>
      </c>
      <c r="J86">
        <v>3</v>
      </c>
      <c r="K86">
        <v>5</v>
      </c>
      <c r="L86">
        <v>5</v>
      </c>
      <c r="M86">
        <v>4</v>
      </c>
      <c r="N86">
        <v>2</v>
      </c>
      <c r="O86">
        <v>5</v>
      </c>
      <c r="P86">
        <v>5</v>
      </c>
      <c r="Q86">
        <v>5</v>
      </c>
      <c r="S86">
        <v>5</v>
      </c>
      <c r="T86">
        <v>5</v>
      </c>
      <c r="U86">
        <v>4</v>
      </c>
      <c r="V86">
        <v>5</v>
      </c>
    </row>
    <row r="87" spans="1:23" x14ac:dyDescent="0.2">
      <c r="A87" s="1" t="s">
        <v>76</v>
      </c>
      <c r="B87">
        <f t="shared" ref="B87:W87" si="8">SUM(B73:B86)</f>
        <v>100</v>
      </c>
      <c r="C87">
        <f t="shared" si="8"/>
        <v>87</v>
      </c>
      <c r="D87">
        <f t="shared" si="8"/>
        <v>72</v>
      </c>
      <c r="E87">
        <f t="shared" si="8"/>
        <v>89</v>
      </c>
      <c r="F87">
        <f t="shared" si="8"/>
        <v>100</v>
      </c>
      <c r="G87">
        <f t="shared" si="8"/>
        <v>53</v>
      </c>
      <c r="H87">
        <f t="shared" si="8"/>
        <v>84</v>
      </c>
      <c r="I87">
        <f t="shared" si="8"/>
        <v>98</v>
      </c>
      <c r="J87">
        <f t="shared" si="8"/>
        <v>72</v>
      </c>
      <c r="K87">
        <f t="shared" si="8"/>
        <v>89</v>
      </c>
      <c r="L87">
        <f t="shared" si="8"/>
        <v>96</v>
      </c>
      <c r="M87">
        <f t="shared" si="8"/>
        <v>86</v>
      </c>
      <c r="N87">
        <f t="shared" si="8"/>
        <v>55</v>
      </c>
      <c r="O87">
        <f t="shared" si="8"/>
        <v>76</v>
      </c>
      <c r="P87">
        <f t="shared" si="8"/>
        <v>100</v>
      </c>
      <c r="Q87">
        <f t="shared" si="8"/>
        <v>96</v>
      </c>
      <c r="R87">
        <f t="shared" si="8"/>
        <v>0</v>
      </c>
      <c r="S87">
        <f t="shared" si="8"/>
        <v>90</v>
      </c>
      <c r="T87">
        <f t="shared" si="8"/>
        <v>86</v>
      </c>
      <c r="U87">
        <f t="shared" si="8"/>
        <v>82</v>
      </c>
      <c r="V87">
        <f t="shared" si="8"/>
        <v>85</v>
      </c>
      <c r="W87">
        <f t="shared" si="8"/>
        <v>0</v>
      </c>
    </row>
    <row r="89" spans="1:23" x14ac:dyDescent="0.2">
      <c r="B89" s="1" t="s">
        <v>64</v>
      </c>
      <c r="C89" s="1" t="s">
        <v>77</v>
      </c>
      <c r="D89" s="1" t="s">
        <v>78</v>
      </c>
      <c r="E89" s="1" t="s">
        <v>79</v>
      </c>
      <c r="F89" s="1" t="s">
        <v>80</v>
      </c>
      <c r="G89" s="1" t="s">
        <v>81</v>
      </c>
      <c r="H89" s="1" t="s">
        <v>82</v>
      </c>
      <c r="I89" s="1" t="s">
        <v>83</v>
      </c>
      <c r="J89" s="1" t="s">
        <v>84</v>
      </c>
      <c r="K89" s="1" t="s">
        <v>85</v>
      </c>
      <c r="L89" s="1" t="s">
        <v>86</v>
      </c>
      <c r="M89" s="1" t="s">
        <v>87</v>
      </c>
      <c r="N89" s="1" t="s">
        <v>88</v>
      </c>
      <c r="O89" s="1" t="s">
        <v>89</v>
      </c>
      <c r="P89" s="1" t="s">
        <v>90</v>
      </c>
      <c r="Q89" s="1" t="s">
        <v>91</v>
      </c>
      <c r="R89" s="1" t="s">
        <v>92</v>
      </c>
      <c r="S89" s="1" t="s">
        <v>93</v>
      </c>
      <c r="T89" s="1" t="s">
        <v>94</v>
      </c>
      <c r="U89" s="1" t="s">
        <v>95</v>
      </c>
      <c r="V89" s="1" t="s">
        <v>96</v>
      </c>
      <c r="W89" s="1" t="s">
        <v>97</v>
      </c>
    </row>
    <row r="90" spans="1:23" x14ac:dyDescent="0.2">
      <c r="A90">
        <v>1</v>
      </c>
      <c r="B90">
        <v>18</v>
      </c>
    </row>
    <row r="91" spans="1:23" x14ac:dyDescent="0.2">
      <c r="A91">
        <v>2</v>
      </c>
      <c r="B91">
        <v>2</v>
      </c>
    </row>
    <row r="92" spans="1:23" x14ac:dyDescent="0.2">
      <c r="A92">
        <v>3</v>
      </c>
      <c r="B92">
        <v>8</v>
      </c>
    </row>
    <row r="93" spans="1:23" x14ac:dyDescent="0.2">
      <c r="A93">
        <v>4</v>
      </c>
      <c r="B93">
        <v>12</v>
      </c>
    </row>
    <row r="94" spans="1:23" x14ac:dyDescent="0.2">
      <c r="A94">
        <v>5</v>
      </c>
      <c r="B94">
        <v>12</v>
      </c>
    </row>
    <row r="95" spans="1:23" x14ac:dyDescent="0.2">
      <c r="A95">
        <v>6</v>
      </c>
      <c r="B95">
        <v>4</v>
      </c>
    </row>
    <row r="96" spans="1:23" x14ac:dyDescent="0.2">
      <c r="A96">
        <v>7</v>
      </c>
      <c r="B96">
        <v>6</v>
      </c>
    </row>
    <row r="97" spans="1:23" x14ac:dyDescent="0.2">
      <c r="A97">
        <v>8</v>
      </c>
      <c r="B97">
        <v>6</v>
      </c>
    </row>
    <row r="98" spans="1:23" x14ac:dyDescent="0.2">
      <c r="A98">
        <v>9</v>
      </c>
      <c r="B98">
        <v>6</v>
      </c>
    </row>
    <row r="99" spans="1:23" x14ac:dyDescent="0.2">
      <c r="A99">
        <v>10</v>
      </c>
      <c r="B99">
        <v>6</v>
      </c>
    </row>
    <row r="100" spans="1:23" x14ac:dyDescent="0.2">
      <c r="A100">
        <v>11</v>
      </c>
      <c r="B100">
        <v>6</v>
      </c>
    </row>
    <row r="101" spans="1:23" x14ac:dyDescent="0.2">
      <c r="A101">
        <v>12</v>
      </c>
      <c r="B101">
        <v>6</v>
      </c>
    </row>
    <row r="102" spans="1:23" x14ac:dyDescent="0.2">
      <c r="A102">
        <v>13</v>
      </c>
      <c r="B102">
        <v>8</v>
      </c>
    </row>
    <row r="103" spans="1:23" x14ac:dyDescent="0.2">
      <c r="A103">
        <v>14</v>
      </c>
    </row>
    <row r="104" spans="1:23" x14ac:dyDescent="0.2">
      <c r="A104" s="1" t="s">
        <v>76</v>
      </c>
      <c r="B104">
        <f t="shared" ref="B104:W104" si="9">SUM(B90:B103)</f>
        <v>100</v>
      </c>
      <c r="C104">
        <f t="shared" si="9"/>
        <v>0</v>
      </c>
      <c r="D104">
        <f t="shared" si="9"/>
        <v>0</v>
      </c>
      <c r="E104">
        <f t="shared" si="9"/>
        <v>0</v>
      </c>
      <c r="F104">
        <f t="shared" si="9"/>
        <v>0</v>
      </c>
      <c r="G104">
        <f t="shared" si="9"/>
        <v>0</v>
      </c>
      <c r="H104">
        <f t="shared" si="9"/>
        <v>0</v>
      </c>
      <c r="I104">
        <f t="shared" si="9"/>
        <v>0</v>
      </c>
      <c r="J104">
        <f t="shared" si="9"/>
        <v>0</v>
      </c>
      <c r="K104">
        <f t="shared" si="9"/>
        <v>0</v>
      </c>
      <c r="L104">
        <f t="shared" si="9"/>
        <v>0</v>
      </c>
      <c r="M104">
        <f t="shared" si="9"/>
        <v>0</v>
      </c>
      <c r="N104">
        <f t="shared" si="9"/>
        <v>0</v>
      </c>
      <c r="O104">
        <f t="shared" si="9"/>
        <v>0</v>
      </c>
      <c r="P104">
        <f t="shared" si="9"/>
        <v>0</v>
      </c>
      <c r="Q104">
        <f t="shared" si="9"/>
        <v>0</v>
      </c>
      <c r="R104">
        <f t="shared" si="9"/>
        <v>0</v>
      </c>
      <c r="S104">
        <f t="shared" si="9"/>
        <v>0</v>
      </c>
      <c r="T104">
        <f t="shared" si="9"/>
        <v>0</v>
      </c>
      <c r="U104">
        <f t="shared" si="9"/>
        <v>0</v>
      </c>
      <c r="V104">
        <f t="shared" si="9"/>
        <v>0</v>
      </c>
      <c r="W104">
        <f t="shared" si="9"/>
        <v>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Beeler</cp:lastModifiedBy>
  <dcterms:created xsi:type="dcterms:W3CDTF">2026-01-13T17:27:11Z</dcterms:created>
  <dcterms:modified xsi:type="dcterms:W3CDTF">2026-04-27T11:29:26Z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2026-01-13T12:04:52-05:00</dcterms:created>
  <dcterms:modified xsi:type="dcterms:W3CDTF">2026-01-13T12:04:52-05:00</dcterms:modified>
  <cp:revision>0</cp:revision>
</cp:coreProperties>
</file>