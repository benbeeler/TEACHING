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TEACHING/Nuclear_Fuel_Performance/NE533_Spring2026/"/>
    </mc:Choice>
  </mc:AlternateContent>
  <xr:revisionPtr revIDLastSave="0" documentId="13_ncr:1_{BABEF96E-DD31-6443-912F-01CA435476ED}" xr6:coauthVersionLast="47" xr6:coauthVersionMax="47" xr10:uidLastSave="{00000000-0000-0000-0000-000000000000}"/>
  <bookViews>
    <workbookView xWindow="1320" yWindow="760" windowWidth="23980" windowHeight="20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1" l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B69" i="1"/>
  <c r="J30" i="1"/>
  <c r="J33" i="1" s="1"/>
  <c r="K30" i="1"/>
  <c r="K33" i="1" s="1"/>
  <c r="L30" i="1"/>
  <c r="L33" i="1" s="1"/>
  <c r="M30" i="1"/>
  <c r="M33" i="1" s="1"/>
  <c r="N30" i="1"/>
  <c r="N33" i="1" s="1"/>
  <c r="J31" i="1"/>
  <c r="K31" i="1"/>
  <c r="L31" i="1"/>
  <c r="M31" i="1"/>
  <c r="N31" i="1"/>
  <c r="G30" i="1"/>
  <c r="G33" i="1" s="1"/>
  <c r="H30" i="1"/>
  <c r="H33" i="1" s="1"/>
  <c r="I30" i="1"/>
  <c r="I33" i="1" s="1"/>
  <c r="G31" i="1"/>
  <c r="H31" i="1"/>
  <c r="I31" i="1"/>
  <c r="F31" i="1"/>
  <c r="F30" i="1"/>
  <c r="F33" i="1" s="1"/>
  <c r="O28" i="1"/>
  <c r="O27" i="1"/>
  <c r="O6" i="1"/>
  <c r="O7" i="1"/>
  <c r="O8" i="1"/>
  <c r="O9" i="1"/>
  <c r="O10" i="1"/>
  <c r="O11" i="1"/>
  <c r="O12" i="1"/>
  <c r="O13" i="1"/>
  <c r="O14" i="1"/>
  <c r="O15" i="1"/>
  <c r="O16" i="1"/>
  <c r="O17" i="1"/>
  <c r="O19" i="1"/>
  <c r="O20" i="1"/>
  <c r="O21" i="1"/>
  <c r="O22" i="1"/>
  <c r="O23" i="1"/>
  <c r="O24" i="1"/>
  <c r="O5" i="1"/>
  <c r="N26" i="1"/>
  <c r="N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B52" i="1"/>
</calcChain>
</file>

<file path=xl/sharedStrings.xml><?xml version="1.0" encoding="utf-8"?>
<sst xmlns="http://schemas.openxmlformats.org/spreadsheetml/2006/main" count="128" uniqueCount="102">
  <si>
    <t>First name</t>
  </si>
  <si>
    <t>Last name</t>
  </si>
  <si>
    <t>Email address</t>
  </si>
  <si>
    <t>Groups</t>
  </si>
  <si>
    <t>Ethan</t>
  </si>
  <si>
    <t>Arnold</t>
  </si>
  <si>
    <t>earnold@ncsu.edu</t>
  </si>
  <si>
    <t>Zach</t>
  </si>
  <si>
    <t>Bevans</t>
  </si>
  <si>
    <t>zbevans@ncsu.edu</t>
  </si>
  <si>
    <t>Crystal</t>
  </si>
  <si>
    <t>Bowers</t>
  </si>
  <si>
    <t>cbowers2@ncsu.edu</t>
  </si>
  <si>
    <t>Ingrid</t>
  </si>
  <si>
    <t>Caraballo-Lopez</t>
  </si>
  <si>
    <t>incaraba@ncsu.edu</t>
  </si>
  <si>
    <t>Wonkyo</t>
  </si>
  <si>
    <t>Cho</t>
  </si>
  <si>
    <t>wcho4@ncsu.edu</t>
  </si>
  <si>
    <t>Ivan</t>
  </si>
  <si>
    <t>Davis</t>
  </si>
  <si>
    <t>imdavis3@ncsu.edu</t>
  </si>
  <si>
    <t>Preston</t>
  </si>
  <si>
    <t>Decker-Fisk</t>
  </si>
  <si>
    <t>pdecker@ncsu.edu</t>
  </si>
  <si>
    <t>Jack</t>
  </si>
  <si>
    <t>Falcoz-Vigne</t>
  </si>
  <si>
    <t>jsfalcoz@ncsu.edu</t>
  </si>
  <si>
    <t>Md  Fahim</t>
  </si>
  <si>
    <t>Foraejee</t>
  </si>
  <si>
    <t>mforaej@ncsu.edu</t>
  </si>
  <si>
    <t>Steven</t>
  </si>
  <si>
    <t>Hood</t>
  </si>
  <si>
    <t>sthood2@ncsu.edu</t>
  </si>
  <si>
    <t>Aidan</t>
  </si>
  <si>
    <t>Masi</t>
  </si>
  <si>
    <t>abmasi@ncsu.edu</t>
  </si>
  <si>
    <t>Abby</t>
  </si>
  <si>
    <t>Mathias</t>
  </si>
  <si>
    <t>ahmathia@ncsu.edu</t>
  </si>
  <si>
    <t>Cameron</t>
  </si>
  <si>
    <t>Myers</t>
  </si>
  <si>
    <t>crmyers3@ncsu.edu</t>
  </si>
  <si>
    <t>Johnathan</t>
  </si>
  <si>
    <t>Pack</t>
  </si>
  <si>
    <t>jwpack2@ncsu.edu</t>
  </si>
  <si>
    <t>Fletcher</t>
  </si>
  <si>
    <t>Smith</t>
  </si>
  <si>
    <t>fsmith4@ncsu.edu</t>
  </si>
  <si>
    <t>Sweeney</t>
  </si>
  <si>
    <t>ztsweene@ncsu.edu</t>
  </si>
  <si>
    <t>Connor</t>
  </si>
  <si>
    <t>van Heugten</t>
  </si>
  <si>
    <t>crvanheu@ncsu.edu</t>
  </si>
  <si>
    <t>Max</t>
  </si>
  <si>
    <t>Velasco</t>
  </si>
  <si>
    <t>mjvelas2@ncsu.edu</t>
  </si>
  <si>
    <t>Blake</t>
  </si>
  <si>
    <t>Wilson</t>
  </si>
  <si>
    <t>bwilson9@ncsu.edu</t>
  </si>
  <si>
    <t>enwilso4@ncsu.edu</t>
  </si>
  <si>
    <t>Exam1</t>
  </si>
  <si>
    <t>Exam 2</t>
  </si>
  <si>
    <t>Exam 3</t>
  </si>
  <si>
    <t>Exam 4</t>
  </si>
  <si>
    <t>Presentation</t>
  </si>
  <si>
    <t>Moose 1</t>
  </si>
  <si>
    <t>Moose 2</t>
  </si>
  <si>
    <t>Moose 3</t>
  </si>
  <si>
    <t>Curve</t>
  </si>
  <si>
    <t>NE433</t>
  </si>
  <si>
    <t>NE533</t>
  </si>
  <si>
    <t>tjholman@ncsu.edu </t>
  </si>
  <si>
    <t>Tyler</t>
  </si>
  <si>
    <t>Holman</t>
  </si>
  <si>
    <t>Exam 1</t>
  </si>
  <si>
    <t>total</t>
  </si>
  <si>
    <t>Z Bevans</t>
  </si>
  <si>
    <t>W. Cho</t>
  </si>
  <si>
    <t>J. Falcoz-Vigne</t>
  </si>
  <si>
    <t>Fahim Foraejee</t>
  </si>
  <si>
    <t>S. Hood</t>
  </si>
  <si>
    <t>A. Masi</t>
  </si>
  <si>
    <t>A. Mathias</t>
  </si>
  <si>
    <t>J. Pack</t>
  </si>
  <si>
    <t>F. Smith</t>
  </si>
  <si>
    <t>C. van Heugten</t>
  </si>
  <si>
    <t>M. Velasco</t>
  </si>
  <si>
    <t>B. Wilson</t>
  </si>
  <si>
    <t>E. Wilson</t>
  </si>
  <si>
    <t>E. Arnold</t>
  </si>
  <si>
    <t>C. Bowers</t>
  </si>
  <si>
    <t>I. Caraballo-Lopez</t>
  </si>
  <si>
    <t>I. Davis</t>
  </si>
  <si>
    <t>P. Decker-Fish</t>
  </si>
  <si>
    <t>Z. Sweeney</t>
  </si>
  <si>
    <t>C. Myers</t>
  </si>
  <si>
    <t>T. Holman</t>
  </si>
  <si>
    <t>Average</t>
  </si>
  <si>
    <t>Avg + curve</t>
  </si>
  <si>
    <t>Stdev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</si>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</sst>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71"/>
  <sheetViews>
    <sheetView tabSelected="1" topLeftCell="A7" workbookViewId="0">
      <selection activeCell="G19" sqref="G19"/>
    </sheetView>
  </sheetViews>
  <sheetFormatPr baseColWidth="10" defaultRowHeight="16" x14ac:dyDescent="0.2"/>
  <cols>
    <col min="10" max="10" width="12.5" customWidth="1"/>
  </cols>
  <sheetData>
    <row r="2" spans="1:15" x14ac:dyDescent="0.2">
      <c r="F2">
        <v>0.16</v>
      </c>
      <c r="G2">
        <v>0.16</v>
      </c>
      <c r="H2">
        <v>0.16</v>
      </c>
      <c r="I2">
        <v>0.16</v>
      </c>
      <c r="J2">
        <v>0.16</v>
      </c>
      <c r="K2">
        <v>0.05</v>
      </c>
      <c r="L2">
        <v>0.05</v>
      </c>
      <c r="M2">
        <v>0.1</v>
      </c>
      <c r="N2">
        <f>SUM(F2:M2)</f>
        <v>1.0000000000000002</v>
      </c>
      <c r="O2" s="1" t="s">
        <v>101</v>
      </c>
    </row>
    <row r="3" spans="1:15" x14ac:dyDescent="0.2">
      <c r="B3" s="1" t="s">
        <v>71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</row>
    <row r="4" spans="1:15" x14ac:dyDescent="0.2">
      <c r="B4" t="s">
        <v>0</v>
      </c>
      <c r="C4" t="s">
        <v>1</v>
      </c>
      <c r="D4" t="s">
        <v>2</v>
      </c>
      <c r="E4" t="s">
        <v>3</v>
      </c>
    </row>
    <row r="5" spans="1:15" x14ac:dyDescent="0.2">
      <c r="A5">
        <v>1</v>
      </c>
      <c r="B5" t="s">
        <v>7</v>
      </c>
      <c r="C5" t="s">
        <v>8</v>
      </c>
      <c r="D5" t="s">
        <v>9</v>
      </c>
      <c r="F5">
        <v>93</v>
      </c>
      <c r="G5">
        <v>93</v>
      </c>
      <c r="O5">
        <f>(F5+F$32)*F$2/(100*$F$2)</f>
        <v>1</v>
      </c>
    </row>
    <row r="6" spans="1:15" x14ac:dyDescent="0.2">
      <c r="A6">
        <v>2</v>
      </c>
      <c r="B6" t="s">
        <v>16</v>
      </c>
      <c r="C6" t="s">
        <v>17</v>
      </c>
      <c r="D6" t="s">
        <v>18</v>
      </c>
      <c r="F6">
        <v>81</v>
      </c>
      <c r="G6">
        <v>87</v>
      </c>
      <c r="O6">
        <f t="shared" ref="O6:O24" si="0">(F6+F$32)*F$2/(100*$F$2)</f>
        <v>0.88</v>
      </c>
    </row>
    <row r="7" spans="1:15" x14ac:dyDescent="0.2">
      <c r="A7">
        <v>3</v>
      </c>
      <c r="B7" t="s">
        <v>25</v>
      </c>
      <c r="C7" t="s">
        <v>26</v>
      </c>
      <c r="D7" t="s">
        <v>27</v>
      </c>
      <c r="F7">
        <v>97</v>
      </c>
      <c r="G7">
        <v>98</v>
      </c>
      <c r="O7">
        <f t="shared" si="0"/>
        <v>1.04</v>
      </c>
    </row>
    <row r="8" spans="1:15" x14ac:dyDescent="0.2">
      <c r="A8">
        <v>4</v>
      </c>
      <c r="B8" t="s">
        <v>28</v>
      </c>
      <c r="C8" t="s">
        <v>29</v>
      </c>
      <c r="D8" t="s">
        <v>30</v>
      </c>
      <c r="F8">
        <v>98</v>
      </c>
      <c r="G8">
        <v>99</v>
      </c>
      <c r="O8">
        <f t="shared" si="0"/>
        <v>1.05</v>
      </c>
    </row>
    <row r="9" spans="1:15" x14ac:dyDescent="0.2">
      <c r="A9">
        <v>5</v>
      </c>
      <c r="B9" t="s">
        <v>31</v>
      </c>
      <c r="C9" t="s">
        <v>32</v>
      </c>
      <c r="D9" t="s">
        <v>33</v>
      </c>
      <c r="F9">
        <v>76</v>
      </c>
      <c r="G9">
        <v>86</v>
      </c>
      <c r="O9">
        <f t="shared" si="0"/>
        <v>0.83000000000000007</v>
      </c>
    </row>
    <row r="10" spans="1:15" x14ac:dyDescent="0.2">
      <c r="A10">
        <v>6</v>
      </c>
      <c r="B10" t="s">
        <v>34</v>
      </c>
      <c r="C10" t="s">
        <v>35</v>
      </c>
      <c r="D10" t="s">
        <v>36</v>
      </c>
      <c r="F10">
        <v>94</v>
      </c>
      <c r="G10">
        <v>90</v>
      </c>
      <c r="O10">
        <f t="shared" si="0"/>
        <v>1.01</v>
      </c>
    </row>
    <row r="11" spans="1:15" x14ac:dyDescent="0.2">
      <c r="A11">
        <v>7</v>
      </c>
      <c r="B11" t="s">
        <v>37</v>
      </c>
      <c r="C11" t="s">
        <v>38</v>
      </c>
      <c r="D11" t="s">
        <v>39</v>
      </c>
      <c r="F11">
        <v>94</v>
      </c>
      <c r="G11">
        <v>100</v>
      </c>
      <c r="O11">
        <f t="shared" si="0"/>
        <v>1.01</v>
      </c>
    </row>
    <row r="12" spans="1:15" x14ac:dyDescent="0.2">
      <c r="A12">
        <v>8</v>
      </c>
      <c r="B12" t="s">
        <v>43</v>
      </c>
      <c r="C12" t="s">
        <v>44</v>
      </c>
      <c r="D12" t="s">
        <v>45</v>
      </c>
      <c r="F12">
        <v>85</v>
      </c>
      <c r="G12">
        <v>85</v>
      </c>
      <c r="O12">
        <f t="shared" si="0"/>
        <v>0.92</v>
      </c>
    </row>
    <row r="13" spans="1:15" x14ac:dyDescent="0.2">
      <c r="A13">
        <v>9</v>
      </c>
      <c r="B13" t="s">
        <v>46</v>
      </c>
      <c r="C13" t="s">
        <v>47</v>
      </c>
      <c r="D13" t="s">
        <v>48</v>
      </c>
      <c r="F13">
        <v>92</v>
      </c>
      <c r="G13">
        <v>95</v>
      </c>
      <c r="O13">
        <f t="shared" si="0"/>
        <v>0.99</v>
      </c>
    </row>
    <row r="14" spans="1:15" x14ac:dyDescent="0.2">
      <c r="A14">
        <v>10</v>
      </c>
      <c r="B14" t="s">
        <v>51</v>
      </c>
      <c r="C14" t="s">
        <v>52</v>
      </c>
      <c r="D14" t="s">
        <v>53</v>
      </c>
      <c r="F14">
        <v>93</v>
      </c>
      <c r="G14">
        <v>94</v>
      </c>
      <c r="O14">
        <f t="shared" si="0"/>
        <v>1</v>
      </c>
    </row>
    <row r="15" spans="1:15" x14ac:dyDescent="0.2">
      <c r="A15">
        <v>11</v>
      </c>
      <c r="B15" t="s">
        <v>54</v>
      </c>
      <c r="C15" t="s">
        <v>55</v>
      </c>
      <c r="D15" t="s">
        <v>56</v>
      </c>
      <c r="F15">
        <v>100</v>
      </c>
      <c r="G15">
        <v>90</v>
      </c>
      <c r="O15">
        <f t="shared" si="0"/>
        <v>1.07</v>
      </c>
    </row>
    <row r="16" spans="1:15" x14ac:dyDescent="0.2">
      <c r="A16">
        <v>12</v>
      </c>
      <c r="B16" t="s">
        <v>57</v>
      </c>
      <c r="C16" t="s">
        <v>58</v>
      </c>
      <c r="D16" t="s">
        <v>59</v>
      </c>
      <c r="F16">
        <v>51</v>
      </c>
      <c r="G16">
        <v>72</v>
      </c>
      <c r="O16">
        <f t="shared" si="0"/>
        <v>0.57999999999999996</v>
      </c>
    </row>
    <row r="17" spans="1:15" x14ac:dyDescent="0.2">
      <c r="A17">
        <v>13</v>
      </c>
      <c r="B17" t="s">
        <v>4</v>
      </c>
      <c r="C17" t="s">
        <v>58</v>
      </c>
      <c r="D17" t="s">
        <v>60</v>
      </c>
      <c r="F17">
        <v>78</v>
      </c>
      <c r="G17">
        <v>88</v>
      </c>
      <c r="O17">
        <f t="shared" si="0"/>
        <v>0.85</v>
      </c>
    </row>
    <row r="19" spans="1:15" x14ac:dyDescent="0.2">
      <c r="A19">
        <v>14</v>
      </c>
      <c r="B19" t="s">
        <v>4</v>
      </c>
      <c r="C19" t="s">
        <v>5</v>
      </c>
      <c r="D19" t="s">
        <v>6</v>
      </c>
      <c r="F19">
        <v>100</v>
      </c>
      <c r="O19">
        <f t="shared" si="0"/>
        <v>1.07</v>
      </c>
    </row>
    <row r="20" spans="1:15" x14ac:dyDescent="0.2">
      <c r="A20">
        <v>15</v>
      </c>
      <c r="B20" t="s">
        <v>10</v>
      </c>
      <c r="C20" t="s">
        <v>11</v>
      </c>
      <c r="D20" t="s">
        <v>12</v>
      </c>
      <c r="F20">
        <v>94</v>
      </c>
      <c r="O20">
        <f t="shared" si="0"/>
        <v>1.01</v>
      </c>
    </row>
    <row r="21" spans="1:15" x14ac:dyDescent="0.2">
      <c r="A21">
        <v>16</v>
      </c>
      <c r="B21" t="s">
        <v>13</v>
      </c>
      <c r="C21" t="s">
        <v>14</v>
      </c>
      <c r="D21" t="s">
        <v>15</v>
      </c>
      <c r="F21">
        <v>70</v>
      </c>
      <c r="O21">
        <f t="shared" si="0"/>
        <v>0.77</v>
      </c>
    </row>
    <row r="22" spans="1:15" x14ac:dyDescent="0.2">
      <c r="A22">
        <v>17</v>
      </c>
      <c r="B22" t="s">
        <v>19</v>
      </c>
      <c r="C22" t="s">
        <v>20</v>
      </c>
      <c r="D22" t="s">
        <v>21</v>
      </c>
      <c r="F22">
        <v>90</v>
      </c>
      <c r="O22">
        <f t="shared" si="0"/>
        <v>0.97</v>
      </c>
    </row>
    <row r="23" spans="1:15" x14ac:dyDescent="0.2">
      <c r="A23">
        <v>18</v>
      </c>
      <c r="B23" t="s">
        <v>22</v>
      </c>
      <c r="C23" t="s">
        <v>23</v>
      </c>
      <c r="D23" t="s">
        <v>24</v>
      </c>
      <c r="F23">
        <v>86</v>
      </c>
      <c r="O23">
        <f t="shared" si="0"/>
        <v>0.93</v>
      </c>
    </row>
    <row r="24" spans="1:15" x14ac:dyDescent="0.2">
      <c r="A24">
        <v>19</v>
      </c>
      <c r="B24" t="s">
        <v>7</v>
      </c>
      <c r="C24" t="s">
        <v>49</v>
      </c>
      <c r="D24" t="s">
        <v>50</v>
      </c>
      <c r="F24">
        <v>78</v>
      </c>
      <c r="O24">
        <f t="shared" si="0"/>
        <v>0.85</v>
      </c>
    </row>
    <row r="26" spans="1:15" x14ac:dyDescent="0.2">
      <c r="B26" s="1" t="s">
        <v>70</v>
      </c>
      <c r="F26">
        <v>0.2</v>
      </c>
      <c r="G26">
        <v>0.2</v>
      </c>
      <c r="H26">
        <v>0.2</v>
      </c>
      <c r="I26">
        <v>0.2</v>
      </c>
      <c r="K26">
        <v>0.05</v>
      </c>
      <c r="L26">
        <v>0.05</v>
      </c>
      <c r="M26">
        <v>0.1</v>
      </c>
      <c r="N26">
        <f>SUM(F26:M26)</f>
        <v>1.0000000000000002</v>
      </c>
    </row>
    <row r="27" spans="1:15" x14ac:dyDescent="0.2">
      <c r="A27">
        <v>20</v>
      </c>
      <c r="B27" t="s">
        <v>40</v>
      </c>
      <c r="C27" t="s">
        <v>41</v>
      </c>
      <c r="D27" t="s">
        <v>42</v>
      </c>
      <c r="F27">
        <v>72</v>
      </c>
      <c r="G27">
        <v>86</v>
      </c>
      <c r="O27">
        <f>(F27+F$32)*F$26/(100*$F$26)</f>
        <v>0.79</v>
      </c>
    </row>
    <row r="28" spans="1:15" x14ac:dyDescent="0.2">
      <c r="A28">
        <v>21</v>
      </c>
      <c r="B28" s="1" t="s">
        <v>73</v>
      </c>
      <c r="C28" s="1" t="s">
        <v>74</v>
      </c>
      <c r="D28" s="1" t="s">
        <v>72</v>
      </c>
      <c r="F28">
        <v>20</v>
      </c>
      <c r="G28">
        <v>17</v>
      </c>
      <c r="O28">
        <f>(F28+F$32)*F$26/(100*$F$26)</f>
        <v>0.27</v>
      </c>
    </row>
    <row r="29" spans="1:15" x14ac:dyDescent="0.2">
      <c r="B29" s="1"/>
      <c r="C29" s="1"/>
      <c r="D29" s="1"/>
    </row>
    <row r="30" spans="1:15" x14ac:dyDescent="0.2">
      <c r="E30" s="1" t="s">
        <v>98</v>
      </c>
      <c r="F30">
        <f>AVERAGE(F5:F24,F27:F28)</f>
        <v>82.952380952380949</v>
      </c>
      <c r="G30">
        <f t="shared" ref="G30:I30" si="1">AVERAGE(G5:G24,G27:G28)</f>
        <v>85.333333333333329</v>
      </c>
      <c r="H30" t="e">
        <f t="shared" si="1"/>
        <v>#DIV/0!</v>
      </c>
      <c r="I30" t="e">
        <f t="shared" si="1"/>
        <v>#DIV/0!</v>
      </c>
      <c r="J30" t="e">
        <f t="shared" ref="J30:N30" si="2">AVERAGE(J5:J24,J27:J28)</f>
        <v>#DIV/0!</v>
      </c>
      <c r="K30" t="e">
        <f t="shared" si="2"/>
        <v>#DIV/0!</v>
      </c>
      <c r="L30" t="e">
        <f t="shared" si="2"/>
        <v>#DIV/0!</v>
      </c>
      <c r="M30" t="e">
        <f t="shared" si="2"/>
        <v>#DIV/0!</v>
      </c>
      <c r="N30" t="e">
        <f t="shared" si="2"/>
        <v>#DIV/0!</v>
      </c>
    </row>
    <row r="31" spans="1:15" x14ac:dyDescent="0.2">
      <c r="E31" s="1" t="s">
        <v>100</v>
      </c>
      <c r="F31">
        <f>STDEV(F5:F24,F27:F28)</f>
        <v>18.829434910469786</v>
      </c>
      <c r="G31">
        <f t="shared" ref="G31:I31" si="3">STDEV(G5:G24,G27:G28)</f>
        <v>20.16243560495133</v>
      </c>
      <c r="H31" t="e">
        <f t="shared" si="3"/>
        <v>#DIV/0!</v>
      </c>
      <c r="I31" t="e">
        <f t="shared" si="3"/>
        <v>#DIV/0!</v>
      </c>
      <c r="J31" t="e">
        <f t="shared" ref="J31:N31" si="4">STDEV(J5:J24,J27:J28)</f>
        <v>#DIV/0!</v>
      </c>
      <c r="K31" t="e">
        <f t="shared" si="4"/>
        <v>#DIV/0!</v>
      </c>
      <c r="L31" t="e">
        <f t="shared" si="4"/>
        <v>#DIV/0!</v>
      </c>
      <c r="M31" t="e">
        <f t="shared" si="4"/>
        <v>#DIV/0!</v>
      </c>
      <c r="N31" t="e">
        <f t="shared" si="4"/>
        <v>#DIV/0!</v>
      </c>
    </row>
    <row r="32" spans="1:15" x14ac:dyDescent="0.2">
      <c r="E32" s="1" t="s">
        <v>69</v>
      </c>
      <c r="F32" s="1">
        <v>7</v>
      </c>
      <c r="G32" s="1"/>
      <c r="H32" s="1"/>
      <c r="I32" s="1"/>
      <c r="J32" s="1"/>
      <c r="K32" s="1"/>
      <c r="L32" s="1"/>
      <c r="M32" s="1"/>
      <c r="N32" s="1"/>
    </row>
    <row r="33" spans="1:23" x14ac:dyDescent="0.2">
      <c r="E33" s="1" t="s">
        <v>99</v>
      </c>
      <c r="F33">
        <f>F30+F32</f>
        <v>89.952380952380949</v>
      </c>
      <c r="G33">
        <f t="shared" ref="G33:I33" si="5">G30+G32</f>
        <v>85.333333333333329</v>
      </c>
      <c r="H33" t="e">
        <f t="shared" si="5"/>
        <v>#DIV/0!</v>
      </c>
      <c r="I33" t="e">
        <f t="shared" si="5"/>
        <v>#DIV/0!</v>
      </c>
      <c r="J33" t="e">
        <f t="shared" ref="J33" si="6">J30+J32</f>
        <v>#DIV/0!</v>
      </c>
      <c r="K33" t="e">
        <f t="shared" ref="K33" si="7">K30+K32</f>
        <v>#DIV/0!</v>
      </c>
      <c r="L33" t="e">
        <f t="shared" ref="L33" si="8">L30+L32</f>
        <v>#DIV/0!</v>
      </c>
      <c r="M33" t="e">
        <f t="shared" ref="M33" si="9">M30+M32</f>
        <v>#DIV/0!</v>
      </c>
      <c r="N33" t="e">
        <f t="shared" ref="N33" si="10">N30+N32</f>
        <v>#DIV/0!</v>
      </c>
    </row>
    <row r="36" spans="1:23" x14ac:dyDescent="0.2">
      <c r="B36" s="1" t="s">
        <v>75</v>
      </c>
      <c r="C36" s="1" t="s">
        <v>77</v>
      </c>
      <c r="D36" s="1" t="s">
        <v>78</v>
      </c>
      <c r="E36" s="1" t="s">
        <v>79</v>
      </c>
      <c r="F36" s="1" t="s">
        <v>80</v>
      </c>
      <c r="G36" s="1" t="s">
        <v>81</v>
      </c>
      <c r="H36" s="1" t="s">
        <v>82</v>
      </c>
      <c r="I36" s="1" t="s">
        <v>83</v>
      </c>
      <c r="J36" s="1" t="s">
        <v>84</v>
      </c>
      <c r="K36" s="1" t="s">
        <v>85</v>
      </c>
      <c r="L36" s="1" t="s">
        <v>86</v>
      </c>
      <c r="M36" s="1" t="s">
        <v>87</v>
      </c>
      <c r="N36" s="1" t="s">
        <v>88</v>
      </c>
      <c r="O36" s="1" t="s">
        <v>89</v>
      </c>
      <c r="P36" s="1" t="s">
        <v>90</v>
      </c>
      <c r="Q36" s="1" t="s">
        <v>91</v>
      </c>
      <c r="R36" s="1" t="s">
        <v>92</v>
      </c>
      <c r="S36" s="1" t="s">
        <v>93</v>
      </c>
      <c r="T36" s="1" t="s">
        <v>94</v>
      </c>
      <c r="U36" s="1" t="s">
        <v>95</v>
      </c>
      <c r="V36" s="1" t="s">
        <v>96</v>
      </c>
      <c r="W36" s="1" t="s">
        <v>97</v>
      </c>
    </row>
    <row r="37" spans="1:23" x14ac:dyDescent="0.2">
      <c r="A37">
        <v>1</v>
      </c>
      <c r="B37">
        <v>12</v>
      </c>
      <c r="C37">
        <v>10</v>
      </c>
      <c r="D37">
        <v>9</v>
      </c>
      <c r="E37">
        <v>10</v>
      </c>
      <c r="F37">
        <v>11</v>
      </c>
      <c r="G37">
        <v>11</v>
      </c>
      <c r="H37">
        <v>12</v>
      </c>
      <c r="I37">
        <v>12</v>
      </c>
      <c r="J37">
        <v>10</v>
      </c>
      <c r="K37">
        <v>12</v>
      </c>
      <c r="L37">
        <v>11</v>
      </c>
      <c r="M37">
        <v>12</v>
      </c>
      <c r="N37">
        <v>11</v>
      </c>
      <c r="O37">
        <v>7</v>
      </c>
      <c r="P37">
        <v>12</v>
      </c>
      <c r="Q37">
        <v>11</v>
      </c>
      <c r="R37">
        <v>6</v>
      </c>
      <c r="S37">
        <v>12</v>
      </c>
      <c r="T37">
        <v>6</v>
      </c>
      <c r="U37">
        <v>11</v>
      </c>
      <c r="V37">
        <v>9</v>
      </c>
      <c r="W37">
        <v>0</v>
      </c>
    </row>
    <row r="38" spans="1:23" x14ac:dyDescent="0.2">
      <c r="A38">
        <v>2</v>
      </c>
      <c r="B38">
        <v>18</v>
      </c>
      <c r="C38">
        <v>18</v>
      </c>
      <c r="D38">
        <v>18</v>
      </c>
      <c r="E38">
        <v>18</v>
      </c>
      <c r="F38">
        <v>18</v>
      </c>
      <c r="G38">
        <v>14</v>
      </c>
      <c r="H38">
        <v>16</v>
      </c>
      <c r="I38">
        <v>16</v>
      </c>
      <c r="J38">
        <v>18</v>
      </c>
      <c r="K38">
        <v>18</v>
      </c>
      <c r="L38">
        <v>16</v>
      </c>
      <c r="M38">
        <v>18</v>
      </c>
      <c r="N38">
        <v>17</v>
      </c>
      <c r="O38">
        <v>18</v>
      </c>
      <c r="P38">
        <v>18</v>
      </c>
      <c r="Q38">
        <v>16</v>
      </c>
      <c r="R38">
        <v>14</v>
      </c>
      <c r="S38">
        <v>18</v>
      </c>
      <c r="T38">
        <v>14</v>
      </c>
      <c r="U38">
        <v>10</v>
      </c>
      <c r="V38">
        <v>6</v>
      </c>
      <c r="W38">
        <v>6</v>
      </c>
    </row>
    <row r="39" spans="1:23" x14ac:dyDescent="0.2">
      <c r="A39">
        <v>3</v>
      </c>
      <c r="B39">
        <v>8</v>
      </c>
      <c r="C39">
        <v>6</v>
      </c>
      <c r="D39">
        <v>6</v>
      </c>
      <c r="E39">
        <v>7</v>
      </c>
      <c r="F39">
        <v>8</v>
      </c>
      <c r="G39">
        <v>6</v>
      </c>
      <c r="H39">
        <v>7</v>
      </c>
      <c r="I39">
        <v>6</v>
      </c>
      <c r="J39">
        <v>4</v>
      </c>
      <c r="K39">
        <v>7</v>
      </c>
      <c r="L39">
        <v>5</v>
      </c>
      <c r="M39">
        <v>8</v>
      </c>
      <c r="N39">
        <v>8</v>
      </c>
      <c r="O39">
        <v>6</v>
      </c>
      <c r="P39">
        <v>8</v>
      </c>
      <c r="Q39">
        <v>7</v>
      </c>
      <c r="R39">
        <v>7</v>
      </c>
      <c r="S39">
        <v>7</v>
      </c>
      <c r="T39">
        <v>5</v>
      </c>
      <c r="U39">
        <v>7</v>
      </c>
      <c r="V39">
        <v>8</v>
      </c>
      <c r="W39">
        <v>3</v>
      </c>
    </row>
    <row r="40" spans="1:23" x14ac:dyDescent="0.2">
      <c r="A40">
        <v>4</v>
      </c>
      <c r="B40">
        <v>6</v>
      </c>
      <c r="C40">
        <v>6</v>
      </c>
      <c r="D40">
        <v>1</v>
      </c>
      <c r="E40">
        <v>6</v>
      </c>
      <c r="F40">
        <v>6</v>
      </c>
      <c r="G40">
        <v>3</v>
      </c>
      <c r="H40">
        <v>6</v>
      </c>
      <c r="I40">
        <v>6</v>
      </c>
      <c r="J40">
        <v>6</v>
      </c>
      <c r="K40">
        <v>2</v>
      </c>
      <c r="L40">
        <v>6</v>
      </c>
      <c r="M40">
        <v>6</v>
      </c>
      <c r="N40">
        <v>4</v>
      </c>
      <c r="O40">
        <v>6</v>
      </c>
      <c r="P40">
        <v>6</v>
      </c>
      <c r="Q40">
        <v>4</v>
      </c>
      <c r="R40">
        <v>4</v>
      </c>
      <c r="S40">
        <v>6</v>
      </c>
      <c r="T40">
        <v>5</v>
      </c>
      <c r="U40">
        <v>6</v>
      </c>
      <c r="V40">
        <v>6</v>
      </c>
      <c r="W40">
        <v>1</v>
      </c>
    </row>
    <row r="41" spans="1:23" x14ac:dyDescent="0.2">
      <c r="A41">
        <v>5</v>
      </c>
      <c r="B41">
        <v>6</v>
      </c>
      <c r="C41">
        <v>6</v>
      </c>
      <c r="D41">
        <v>6</v>
      </c>
      <c r="E41">
        <v>6</v>
      </c>
      <c r="F41">
        <v>6</v>
      </c>
      <c r="G41">
        <v>1</v>
      </c>
      <c r="H41">
        <v>5</v>
      </c>
      <c r="I41">
        <v>6</v>
      </c>
      <c r="J41">
        <v>5</v>
      </c>
      <c r="K41">
        <v>6</v>
      </c>
      <c r="L41">
        <v>5</v>
      </c>
      <c r="M41">
        <v>6</v>
      </c>
      <c r="N41">
        <v>0</v>
      </c>
      <c r="O41">
        <v>5</v>
      </c>
      <c r="P41">
        <v>6</v>
      </c>
      <c r="Q41">
        <v>6</v>
      </c>
      <c r="R41">
        <v>6</v>
      </c>
      <c r="S41">
        <v>5</v>
      </c>
      <c r="T41">
        <v>6</v>
      </c>
      <c r="U41">
        <v>6</v>
      </c>
      <c r="V41">
        <v>6</v>
      </c>
      <c r="W41">
        <v>0</v>
      </c>
    </row>
    <row r="42" spans="1:23" x14ac:dyDescent="0.2">
      <c r="A42">
        <v>6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4</v>
      </c>
      <c r="J42">
        <v>4</v>
      </c>
      <c r="K42">
        <v>5</v>
      </c>
      <c r="L42">
        <v>5</v>
      </c>
      <c r="M42">
        <v>5</v>
      </c>
      <c r="N42">
        <v>4</v>
      </c>
      <c r="O42">
        <v>4</v>
      </c>
      <c r="P42">
        <v>5</v>
      </c>
      <c r="Q42">
        <v>5</v>
      </c>
      <c r="R42">
        <v>3</v>
      </c>
      <c r="S42">
        <v>5</v>
      </c>
      <c r="T42">
        <v>5</v>
      </c>
      <c r="U42">
        <v>5</v>
      </c>
      <c r="V42">
        <v>3</v>
      </c>
      <c r="W42">
        <v>1</v>
      </c>
    </row>
    <row r="43" spans="1:23" x14ac:dyDescent="0.2">
      <c r="A43">
        <v>7</v>
      </c>
      <c r="B43">
        <v>8</v>
      </c>
      <c r="C43">
        <v>8</v>
      </c>
      <c r="D43">
        <v>7</v>
      </c>
      <c r="E43">
        <v>8</v>
      </c>
      <c r="F43">
        <v>8</v>
      </c>
      <c r="G43">
        <v>8</v>
      </c>
      <c r="H43">
        <v>8</v>
      </c>
      <c r="I43">
        <v>8</v>
      </c>
      <c r="J43">
        <v>8</v>
      </c>
      <c r="K43">
        <v>7</v>
      </c>
      <c r="L43">
        <v>8</v>
      </c>
      <c r="M43">
        <v>8</v>
      </c>
      <c r="N43">
        <v>4</v>
      </c>
      <c r="O43">
        <v>5</v>
      </c>
      <c r="P43">
        <v>8</v>
      </c>
      <c r="Q43">
        <v>8</v>
      </c>
      <c r="R43">
        <v>5</v>
      </c>
      <c r="S43">
        <v>7</v>
      </c>
      <c r="T43">
        <v>8</v>
      </c>
      <c r="U43">
        <v>6</v>
      </c>
      <c r="V43">
        <v>8</v>
      </c>
      <c r="W43">
        <v>1</v>
      </c>
    </row>
    <row r="44" spans="1:23" x14ac:dyDescent="0.2">
      <c r="A44">
        <v>8</v>
      </c>
      <c r="B44">
        <v>4</v>
      </c>
      <c r="C44">
        <v>4</v>
      </c>
      <c r="D44">
        <v>2</v>
      </c>
      <c r="E44">
        <v>4</v>
      </c>
      <c r="F44">
        <v>3</v>
      </c>
      <c r="G44">
        <v>1</v>
      </c>
      <c r="H44">
        <v>4</v>
      </c>
      <c r="I44">
        <v>3</v>
      </c>
      <c r="J44">
        <v>3</v>
      </c>
      <c r="K44">
        <v>4</v>
      </c>
      <c r="L44">
        <v>4</v>
      </c>
      <c r="M44">
        <v>4</v>
      </c>
      <c r="N44">
        <v>3</v>
      </c>
      <c r="O44">
        <v>2</v>
      </c>
      <c r="P44">
        <v>4</v>
      </c>
      <c r="Q44">
        <v>4</v>
      </c>
      <c r="R44">
        <v>3</v>
      </c>
      <c r="S44">
        <v>3</v>
      </c>
      <c r="T44">
        <v>4</v>
      </c>
      <c r="U44">
        <v>2</v>
      </c>
      <c r="V44">
        <v>0</v>
      </c>
      <c r="W44">
        <v>0</v>
      </c>
    </row>
    <row r="45" spans="1:23" x14ac:dyDescent="0.2">
      <c r="A45">
        <v>9</v>
      </c>
      <c r="B45">
        <v>4</v>
      </c>
      <c r="C45">
        <v>4</v>
      </c>
      <c r="D45">
        <v>1</v>
      </c>
      <c r="E45">
        <v>4</v>
      </c>
      <c r="F45">
        <v>4</v>
      </c>
      <c r="G45">
        <v>1</v>
      </c>
      <c r="H45">
        <v>3</v>
      </c>
      <c r="I45">
        <v>4</v>
      </c>
      <c r="J45">
        <v>3</v>
      </c>
      <c r="K45">
        <v>2</v>
      </c>
      <c r="L45">
        <v>4</v>
      </c>
      <c r="M45">
        <v>4</v>
      </c>
      <c r="N45">
        <v>0</v>
      </c>
      <c r="O45">
        <v>4</v>
      </c>
      <c r="P45">
        <v>4</v>
      </c>
      <c r="Q45">
        <v>4</v>
      </c>
      <c r="R45">
        <v>1</v>
      </c>
      <c r="S45">
        <v>4</v>
      </c>
      <c r="T45">
        <v>4</v>
      </c>
      <c r="U45">
        <v>1</v>
      </c>
      <c r="V45">
        <v>2</v>
      </c>
      <c r="W45">
        <v>0</v>
      </c>
    </row>
    <row r="46" spans="1:23" x14ac:dyDescent="0.2">
      <c r="A46">
        <v>10</v>
      </c>
      <c r="B46">
        <v>6</v>
      </c>
      <c r="C46">
        <v>6</v>
      </c>
      <c r="D46">
        <v>5</v>
      </c>
      <c r="E46">
        <v>6</v>
      </c>
      <c r="F46">
        <v>6</v>
      </c>
      <c r="G46">
        <v>4</v>
      </c>
      <c r="H46">
        <v>6</v>
      </c>
      <c r="I46">
        <v>6</v>
      </c>
      <c r="J46">
        <v>5</v>
      </c>
      <c r="K46">
        <v>6</v>
      </c>
      <c r="L46">
        <v>6</v>
      </c>
      <c r="M46">
        <v>6</v>
      </c>
      <c r="N46">
        <v>0</v>
      </c>
      <c r="O46">
        <v>5</v>
      </c>
      <c r="P46">
        <v>6</v>
      </c>
      <c r="Q46">
        <v>6</v>
      </c>
      <c r="R46">
        <v>6</v>
      </c>
      <c r="S46">
        <v>6</v>
      </c>
      <c r="T46">
        <v>6</v>
      </c>
      <c r="U46">
        <v>4</v>
      </c>
      <c r="V46">
        <v>6</v>
      </c>
      <c r="W46">
        <v>1</v>
      </c>
    </row>
    <row r="47" spans="1:23" x14ac:dyDescent="0.2">
      <c r="A47">
        <v>11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0</v>
      </c>
      <c r="O47">
        <v>4</v>
      </c>
      <c r="P47">
        <v>4</v>
      </c>
      <c r="Q47">
        <v>4</v>
      </c>
      <c r="R47">
        <v>3</v>
      </c>
      <c r="S47">
        <v>3</v>
      </c>
      <c r="T47">
        <v>4</v>
      </c>
      <c r="U47">
        <v>4</v>
      </c>
      <c r="V47">
        <v>0</v>
      </c>
      <c r="W47">
        <v>4</v>
      </c>
    </row>
    <row r="48" spans="1:23" x14ac:dyDescent="0.2">
      <c r="A48">
        <v>12</v>
      </c>
      <c r="B48">
        <v>4</v>
      </c>
      <c r="C48">
        <v>1</v>
      </c>
      <c r="D48">
        <v>4</v>
      </c>
      <c r="E48">
        <v>4</v>
      </c>
      <c r="F48">
        <v>4</v>
      </c>
      <c r="G48">
        <v>3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0</v>
      </c>
      <c r="O48">
        <v>2</v>
      </c>
      <c r="P48">
        <v>4</v>
      </c>
      <c r="Q48">
        <v>4</v>
      </c>
      <c r="R48">
        <v>2</v>
      </c>
      <c r="S48">
        <v>1</v>
      </c>
      <c r="T48">
        <v>4</v>
      </c>
      <c r="U48">
        <v>4</v>
      </c>
      <c r="V48">
        <v>3</v>
      </c>
      <c r="W48">
        <v>2</v>
      </c>
    </row>
    <row r="49" spans="1:23" x14ac:dyDescent="0.2">
      <c r="A49">
        <v>13</v>
      </c>
      <c r="B49">
        <v>6</v>
      </c>
      <c r="C49">
        <v>6</v>
      </c>
      <c r="D49">
        <v>6</v>
      </c>
      <c r="E49">
        <v>6</v>
      </c>
      <c r="F49">
        <v>6</v>
      </c>
      <c r="G49">
        <v>6</v>
      </c>
      <c r="H49">
        <v>6</v>
      </c>
      <c r="I49">
        <v>6</v>
      </c>
      <c r="J49">
        <v>5</v>
      </c>
      <c r="K49">
        <v>6</v>
      </c>
      <c r="L49">
        <v>6</v>
      </c>
      <c r="M49">
        <v>6</v>
      </c>
      <c r="N49">
        <v>0</v>
      </c>
      <c r="O49">
        <v>5</v>
      </c>
      <c r="P49">
        <v>6</v>
      </c>
      <c r="Q49">
        <v>6</v>
      </c>
      <c r="R49">
        <v>1</v>
      </c>
      <c r="S49">
        <v>5</v>
      </c>
      <c r="T49">
        <v>6</v>
      </c>
      <c r="U49">
        <v>6</v>
      </c>
      <c r="V49">
        <v>6</v>
      </c>
      <c r="W49">
        <v>0</v>
      </c>
    </row>
    <row r="50" spans="1:23" x14ac:dyDescent="0.2">
      <c r="A50">
        <v>14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4</v>
      </c>
      <c r="I50">
        <v>5</v>
      </c>
      <c r="J50">
        <v>4</v>
      </c>
      <c r="K50">
        <v>5</v>
      </c>
      <c r="L50">
        <v>5</v>
      </c>
      <c r="M50">
        <v>5</v>
      </c>
      <c r="N50">
        <v>0</v>
      </c>
      <c r="O50">
        <v>4</v>
      </c>
      <c r="P50">
        <v>5</v>
      </c>
      <c r="Q50">
        <v>5</v>
      </c>
      <c r="R50">
        <v>5</v>
      </c>
      <c r="S50">
        <v>4</v>
      </c>
      <c r="T50">
        <v>5</v>
      </c>
      <c r="U50">
        <v>3</v>
      </c>
      <c r="V50">
        <v>5</v>
      </c>
      <c r="W50">
        <v>1</v>
      </c>
    </row>
    <row r="51" spans="1:23" x14ac:dyDescent="0.2">
      <c r="A51">
        <v>15</v>
      </c>
      <c r="B51">
        <v>4</v>
      </c>
      <c r="C51">
        <v>4</v>
      </c>
      <c r="D51">
        <v>2</v>
      </c>
      <c r="E51">
        <v>4</v>
      </c>
      <c r="F51">
        <v>4</v>
      </c>
      <c r="G51">
        <v>4</v>
      </c>
      <c r="H51">
        <v>4</v>
      </c>
      <c r="I51">
        <v>4</v>
      </c>
      <c r="J51">
        <v>2</v>
      </c>
      <c r="K51">
        <v>4</v>
      </c>
      <c r="L51">
        <v>4</v>
      </c>
      <c r="M51">
        <v>4</v>
      </c>
      <c r="N51">
        <v>0</v>
      </c>
      <c r="O51">
        <v>1</v>
      </c>
      <c r="P51">
        <v>4</v>
      </c>
      <c r="Q51">
        <v>4</v>
      </c>
      <c r="R51">
        <v>4</v>
      </c>
      <c r="S51">
        <v>4</v>
      </c>
      <c r="T51">
        <v>4</v>
      </c>
      <c r="U51">
        <v>3</v>
      </c>
      <c r="V51">
        <v>4</v>
      </c>
      <c r="W51">
        <v>0</v>
      </c>
    </row>
    <row r="52" spans="1:23" x14ac:dyDescent="0.2">
      <c r="A52" s="1" t="s">
        <v>76</v>
      </c>
      <c r="B52">
        <f t="shared" ref="B52:W52" si="11">SUM(B37:B51)</f>
        <v>100</v>
      </c>
      <c r="C52">
        <f t="shared" si="11"/>
        <v>93</v>
      </c>
      <c r="D52">
        <f t="shared" si="11"/>
        <v>81</v>
      </c>
      <c r="E52">
        <f t="shared" si="11"/>
        <v>97</v>
      </c>
      <c r="F52">
        <f t="shared" si="11"/>
        <v>98</v>
      </c>
      <c r="G52">
        <f t="shared" si="11"/>
        <v>76</v>
      </c>
      <c r="H52">
        <f t="shared" si="11"/>
        <v>94</v>
      </c>
      <c r="I52">
        <f t="shared" si="11"/>
        <v>94</v>
      </c>
      <c r="J52">
        <f t="shared" si="11"/>
        <v>85</v>
      </c>
      <c r="K52">
        <f t="shared" si="11"/>
        <v>92</v>
      </c>
      <c r="L52">
        <f t="shared" si="11"/>
        <v>93</v>
      </c>
      <c r="M52">
        <f t="shared" si="11"/>
        <v>100</v>
      </c>
      <c r="N52">
        <f t="shared" si="11"/>
        <v>51</v>
      </c>
      <c r="O52">
        <f t="shared" si="11"/>
        <v>78</v>
      </c>
      <c r="P52">
        <f t="shared" si="11"/>
        <v>100</v>
      </c>
      <c r="Q52">
        <f t="shared" si="11"/>
        <v>94</v>
      </c>
      <c r="R52">
        <f t="shared" si="11"/>
        <v>70</v>
      </c>
      <c r="S52">
        <f t="shared" si="11"/>
        <v>90</v>
      </c>
      <c r="T52">
        <f t="shared" si="11"/>
        <v>86</v>
      </c>
      <c r="U52">
        <f t="shared" si="11"/>
        <v>78</v>
      </c>
      <c r="V52">
        <f t="shared" si="11"/>
        <v>72</v>
      </c>
      <c r="W52">
        <f t="shared" si="11"/>
        <v>20</v>
      </c>
    </row>
    <row r="54" spans="1:23" x14ac:dyDescent="0.2">
      <c r="B54" s="1" t="s">
        <v>62</v>
      </c>
      <c r="C54" s="1" t="s">
        <v>77</v>
      </c>
      <c r="D54" s="1" t="s">
        <v>78</v>
      </c>
      <c r="E54" s="1" t="s">
        <v>79</v>
      </c>
      <c r="F54" s="1" t="s">
        <v>80</v>
      </c>
      <c r="G54" s="1" t="s">
        <v>81</v>
      </c>
      <c r="H54" s="1" t="s">
        <v>82</v>
      </c>
      <c r="I54" s="1" t="s">
        <v>83</v>
      </c>
      <c r="J54" s="1" t="s">
        <v>84</v>
      </c>
      <c r="K54" s="1" t="s">
        <v>85</v>
      </c>
      <c r="L54" s="1" t="s">
        <v>86</v>
      </c>
      <c r="M54" s="1" t="s">
        <v>87</v>
      </c>
      <c r="N54" s="1" t="s">
        <v>88</v>
      </c>
      <c r="O54" s="1" t="s">
        <v>89</v>
      </c>
      <c r="P54" s="1" t="s">
        <v>90</v>
      </c>
      <c r="Q54" s="1" t="s">
        <v>91</v>
      </c>
      <c r="R54" s="1" t="s">
        <v>92</v>
      </c>
      <c r="S54" s="1" t="s">
        <v>93</v>
      </c>
      <c r="T54" s="1" t="s">
        <v>94</v>
      </c>
      <c r="U54" s="1" t="s">
        <v>95</v>
      </c>
      <c r="V54" s="1" t="s">
        <v>96</v>
      </c>
      <c r="W54" s="1" t="s">
        <v>97</v>
      </c>
    </row>
    <row r="55" spans="1:23" x14ac:dyDescent="0.2">
      <c r="A55">
        <v>1</v>
      </c>
      <c r="B55">
        <v>10</v>
      </c>
      <c r="D55">
        <v>10</v>
      </c>
      <c r="H55">
        <v>9</v>
      </c>
      <c r="I55">
        <v>10</v>
      </c>
      <c r="L55">
        <v>9</v>
      </c>
      <c r="M55">
        <v>10</v>
      </c>
      <c r="O55">
        <v>10</v>
      </c>
    </row>
    <row r="56" spans="1:23" x14ac:dyDescent="0.2">
      <c r="A56">
        <v>2</v>
      </c>
      <c r="B56">
        <v>8</v>
      </c>
      <c r="D56">
        <v>8</v>
      </c>
      <c r="H56">
        <v>6</v>
      </c>
      <c r="I56">
        <v>8</v>
      </c>
      <c r="L56">
        <v>6</v>
      </c>
      <c r="M56">
        <v>5</v>
      </c>
      <c r="O56">
        <v>8</v>
      </c>
    </row>
    <row r="57" spans="1:23" x14ac:dyDescent="0.2">
      <c r="A57">
        <v>3</v>
      </c>
      <c r="B57">
        <v>16</v>
      </c>
      <c r="D57">
        <v>15</v>
      </c>
      <c r="H57">
        <v>16</v>
      </c>
      <c r="I57">
        <v>16</v>
      </c>
      <c r="L57">
        <v>16</v>
      </c>
      <c r="M57">
        <v>16</v>
      </c>
      <c r="O57">
        <v>16</v>
      </c>
    </row>
    <row r="58" spans="1:23" x14ac:dyDescent="0.2">
      <c r="A58">
        <v>4</v>
      </c>
      <c r="B58">
        <v>6</v>
      </c>
      <c r="D58">
        <v>6</v>
      </c>
      <c r="H58">
        <v>6</v>
      </c>
      <c r="I58">
        <v>6</v>
      </c>
      <c r="L58">
        <v>6</v>
      </c>
      <c r="M58">
        <v>6</v>
      </c>
      <c r="O58">
        <v>6</v>
      </c>
    </row>
    <row r="59" spans="1:23" x14ac:dyDescent="0.2">
      <c r="A59">
        <v>5</v>
      </c>
      <c r="B59">
        <v>8</v>
      </c>
      <c r="D59">
        <v>8</v>
      </c>
      <c r="H59">
        <v>8</v>
      </c>
      <c r="I59">
        <v>8</v>
      </c>
      <c r="L59">
        <v>8</v>
      </c>
      <c r="M59">
        <v>8</v>
      </c>
      <c r="O59">
        <v>8</v>
      </c>
    </row>
    <row r="60" spans="1:23" x14ac:dyDescent="0.2">
      <c r="A60">
        <v>6</v>
      </c>
      <c r="B60">
        <v>4</v>
      </c>
      <c r="D60">
        <v>4</v>
      </c>
      <c r="H60">
        <v>4</v>
      </c>
      <c r="I60">
        <v>4</v>
      </c>
      <c r="L60">
        <v>4</v>
      </c>
      <c r="M60">
        <v>4</v>
      </c>
      <c r="O60">
        <v>4</v>
      </c>
    </row>
    <row r="61" spans="1:23" x14ac:dyDescent="0.2">
      <c r="A61">
        <v>7</v>
      </c>
      <c r="B61">
        <v>8</v>
      </c>
      <c r="D61">
        <v>6</v>
      </c>
      <c r="H61">
        <v>5</v>
      </c>
      <c r="I61">
        <v>8</v>
      </c>
      <c r="L61">
        <v>8</v>
      </c>
      <c r="M61">
        <v>7</v>
      </c>
      <c r="O61">
        <v>5</v>
      </c>
    </row>
    <row r="62" spans="1:23" x14ac:dyDescent="0.2">
      <c r="A62">
        <v>8</v>
      </c>
      <c r="B62">
        <v>3</v>
      </c>
      <c r="D62">
        <v>3</v>
      </c>
      <c r="H62">
        <v>3</v>
      </c>
      <c r="I62">
        <v>3</v>
      </c>
      <c r="L62">
        <v>3</v>
      </c>
      <c r="M62">
        <v>1</v>
      </c>
      <c r="O62">
        <v>1</v>
      </c>
    </row>
    <row r="63" spans="1:23" x14ac:dyDescent="0.2">
      <c r="A63">
        <v>9</v>
      </c>
      <c r="B63">
        <v>5</v>
      </c>
      <c r="D63">
        <v>4</v>
      </c>
      <c r="H63">
        <v>4</v>
      </c>
      <c r="I63">
        <v>5</v>
      </c>
      <c r="L63">
        <v>5</v>
      </c>
      <c r="M63">
        <v>3</v>
      </c>
      <c r="O63">
        <v>4</v>
      </c>
    </row>
    <row r="64" spans="1:23" x14ac:dyDescent="0.2">
      <c r="A64">
        <v>10</v>
      </c>
      <c r="B64">
        <v>8</v>
      </c>
      <c r="D64">
        <v>6</v>
      </c>
      <c r="H64">
        <v>6</v>
      </c>
      <c r="I64">
        <v>8</v>
      </c>
      <c r="L64">
        <v>8</v>
      </c>
      <c r="M64">
        <v>7</v>
      </c>
      <c r="O64">
        <v>5</v>
      </c>
    </row>
    <row r="65" spans="1:23" x14ac:dyDescent="0.2">
      <c r="A65">
        <v>11</v>
      </c>
      <c r="B65">
        <v>8</v>
      </c>
      <c r="D65">
        <v>7</v>
      </c>
      <c r="H65">
        <v>8</v>
      </c>
      <c r="I65">
        <v>8</v>
      </c>
      <c r="L65">
        <v>8</v>
      </c>
      <c r="M65">
        <v>8</v>
      </c>
      <c r="O65">
        <v>8</v>
      </c>
    </row>
    <row r="66" spans="1:23" x14ac:dyDescent="0.2">
      <c r="A66">
        <v>12</v>
      </c>
      <c r="B66">
        <v>4</v>
      </c>
      <c r="D66">
        <v>2</v>
      </c>
      <c r="H66">
        <v>4</v>
      </c>
      <c r="I66">
        <v>4</v>
      </c>
      <c r="L66">
        <v>4</v>
      </c>
      <c r="M66">
        <v>3</v>
      </c>
      <c r="O66">
        <v>4</v>
      </c>
    </row>
    <row r="67" spans="1:23" x14ac:dyDescent="0.2">
      <c r="A67">
        <v>13</v>
      </c>
      <c r="B67">
        <v>6</v>
      </c>
      <c r="D67">
        <v>4</v>
      </c>
      <c r="H67">
        <v>6</v>
      </c>
      <c r="I67">
        <v>6</v>
      </c>
      <c r="L67">
        <v>6</v>
      </c>
      <c r="M67">
        <v>6</v>
      </c>
      <c r="O67">
        <v>5</v>
      </c>
    </row>
    <row r="68" spans="1:23" x14ac:dyDescent="0.2">
      <c r="A68">
        <v>14</v>
      </c>
      <c r="B68">
        <v>6</v>
      </c>
      <c r="D68">
        <v>4</v>
      </c>
      <c r="H68">
        <v>5</v>
      </c>
      <c r="I68">
        <v>6</v>
      </c>
      <c r="L68">
        <v>3</v>
      </c>
      <c r="M68">
        <v>6</v>
      </c>
      <c r="O68">
        <v>4</v>
      </c>
    </row>
    <row r="69" spans="1:23" x14ac:dyDescent="0.2">
      <c r="A69" s="1" t="s">
        <v>76</v>
      </c>
      <c r="B69">
        <f t="shared" ref="B69" si="12">SUM(B55:B68)</f>
        <v>100</v>
      </c>
      <c r="C69">
        <f t="shared" ref="C69:C71" si="13">SUM(C55:C68)</f>
        <v>0</v>
      </c>
      <c r="D69">
        <f t="shared" ref="D69:D71" si="14">SUM(D55:D68)</f>
        <v>87</v>
      </c>
      <c r="E69">
        <f t="shared" ref="E69:E71" si="15">SUM(E55:E68)</f>
        <v>0</v>
      </c>
      <c r="F69">
        <f t="shared" ref="F69:F71" si="16">SUM(F55:F68)</f>
        <v>0</v>
      </c>
      <c r="G69">
        <f t="shared" ref="G69:G71" si="17">SUM(G55:G68)</f>
        <v>0</v>
      </c>
      <c r="H69">
        <f t="shared" ref="H69:H71" si="18">SUM(H55:H68)</f>
        <v>90</v>
      </c>
      <c r="I69">
        <f t="shared" ref="I69:I71" si="19">SUM(I55:I68)</f>
        <v>100</v>
      </c>
      <c r="J69">
        <f t="shared" ref="J69:J71" si="20">SUM(J55:J68)</f>
        <v>0</v>
      </c>
      <c r="K69">
        <f t="shared" ref="K69:K71" si="21">SUM(K55:K68)</f>
        <v>0</v>
      </c>
      <c r="L69">
        <f t="shared" ref="L69:L71" si="22">SUM(L55:L68)</f>
        <v>94</v>
      </c>
      <c r="M69">
        <f t="shared" ref="M69:M71" si="23">SUM(M55:M68)</f>
        <v>90</v>
      </c>
      <c r="N69">
        <f t="shared" ref="N69:N71" si="24">SUM(N55:N68)</f>
        <v>0</v>
      </c>
      <c r="O69">
        <f t="shared" ref="O69:O71" si="25">SUM(O55:O68)</f>
        <v>88</v>
      </c>
      <c r="P69">
        <f t="shared" ref="P69" si="26">SUM(P55:P68)</f>
        <v>0</v>
      </c>
      <c r="Q69">
        <f t="shared" ref="Q69" si="27">SUM(Q55:Q68)</f>
        <v>0</v>
      </c>
      <c r="R69">
        <f t="shared" ref="R69" si="28">SUM(R55:R68)</f>
        <v>0</v>
      </c>
      <c r="S69">
        <f t="shared" ref="S69" si="29">SUM(S55:S68)</f>
        <v>0</v>
      </c>
      <c r="T69">
        <f t="shared" ref="T69" si="30">SUM(T55:T68)</f>
        <v>0</v>
      </c>
      <c r="U69">
        <f t="shared" ref="U69" si="31">SUM(U55:U68)</f>
        <v>0</v>
      </c>
      <c r="V69">
        <f t="shared" ref="V69" si="32">SUM(V55:V68)</f>
        <v>0</v>
      </c>
      <c r="W69">
        <f t="shared" ref="W69" si="33">SUM(W55:W68)</f>
        <v>0</v>
      </c>
    </row>
    <row r="71" spans="1:23" x14ac:dyDescent="0.2">
      <c r="C71">
        <v>0</v>
      </c>
      <c r="D71">
        <v>87</v>
      </c>
      <c r="E71">
        <v>0</v>
      </c>
      <c r="F71">
        <v>0</v>
      </c>
      <c r="G71">
        <v>0</v>
      </c>
      <c r="H71">
        <v>90</v>
      </c>
      <c r="I71">
        <v>100</v>
      </c>
      <c r="J71">
        <v>0</v>
      </c>
      <c r="K71">
        <v>0</v>
      </c>
      <c r="L71">
        <v>94</v>
      </c>
      <c r="M71">
        <v>0</v>
      </c>
      <c r="N71">
        <v>0</v>
      </c>
      <c r="O71">
        <v>88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W. Beeler</cp:lastModifiedBy>
  <dcterms:created xsi:type="dcterms:W3CDTF">2026-01-13T17:27:11Z</dcterms:created>
  <dcterms:modified xsi:type="dcterms:W3CDTF">2026-03-23T12:37:34Z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2026-01-13T12:04:52-05:00</dcterms:created>
  <dcterms:modified xsi:type="dcterms:W3CDTF">2026-01-13T12:04:52-05:00</dcterms:modified>
  <cp:revision>0</cp:revision>
</cp:coreProperties>
</file>