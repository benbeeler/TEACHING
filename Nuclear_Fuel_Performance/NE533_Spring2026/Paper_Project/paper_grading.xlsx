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beelbw/projects/TEACHING/Nuclear_Fuel_Performance/NE533_Spring2026/Paper_Project/"/>
    </mc:Choice>
  </mc:AlternateContent>
  <xr:revisionPtr revIDLastSave="0" documentId="8_{39E69C1A-84FC-4042-88D5-02D6C1533FFD}" xr6:coauthVersionLast="47" xr6:coauthVersionMax="47" xr10:uidLastSave="{00000000-0000-0000-0000-000000000000}"/>
  <bookViews>
    <workbookView xWindow="10040" yWindow="820" windowWidth="17980" windowHeight="15800" xr2:uid="{86373935-D16D-7E49-AE9B-FB508A32B91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 i="1" l="1"/>
  <c r="T20" i="1" s="1"/>
  <c r="U18" i="1"/>
  <c r="U20" i="1" s="1"/>
  <c r="Q18" i="1"/>
  <c r="Q20" i="1" s="1"/>
  <c r="R18" i="1"/>
  <c r="R20" i="1" s="1"/>
  <c r="S18" i="1"/>
  <c r="S20" i="1" s="1"/>
  <c r="M18" i="1"/>
  <c r="M20" i="1" s="1"/>
  <c r="N18" i="1"/>
  <c r="N20" i="1" s="1"/>
  <c r="O18" i="1"/>
  <c r="O20" i="1" s="1"/>
  <c r="P18" i="1"/>
  <c r="P20" i="1" s="1"/>
  <c r="D30" i="1"/>
  <c r="D32" i="1" s="1"/>
  <c r="K18" i="1"/>
  <c r="K20" i="1" s="1"/>
  <c r="J18" i="1"/>
  <c r="J20" i="1" s="1"/>
  <c r="L18" i="1"/>
  <c r="L20" i="1" s="1"/>
  <c r="D18" i="1"/>
  <c r="D20" i="1" s="1"/>
  <c r="E18" i="1"/>
  <c r="E20" i="1" s="1"/>
  <c r="F18" i="1"/>
  <c r="F20" i="1" s="1"/>
  <c r="G18" i="1"/>
  <c r="G20" i="1" s="1"/>
  <c r="I18" i="1"/>
  <c r="I20" i="1" s="1"/>
  <c r="H18" i="1" l="1"/>
  <c r="H20" i="1" l="1"/>
</calcChain>
</file>

<file path=xl/sharedStrings.xml><?xml version="1.0" encoding="utf-8"?>
<sst xmlns="http://schemas.openxmlformats.org/spreadsheetml/2006/main" count="64" uniqueCount="55">
  <si>
    <t>Paper Project Grading</t>
  </si>
  <si>
    <t>Evaluation of Scientific Info</t>
  </si>
  <si>
    <t>Critical Analysis of Manuscript</t>
  </si>
  <si>
    <t>Understanding of Technical Info</t>
  </si>
  <si>
    <t>Organization</t>
  </si>
  <si>
    <t>Style/Delivery</t>
  </si>
  <si>
    <t>Excellent</t>
  </si>
  <si>
    <t>17-20</t>
  </si>
  <si>
    <t>Good</t>
  </si>
  <si>
    <t>13-16</t>
  </si>
  <si>
    <t>Fair</t>
  </si>
  <si>
    <t>Poor</t>
  </si>
  <si>
    <t>&lt;8</t>
  </si>
  <si>
    <t>8-12</t>
  </si>
  <si>
    <t>Notes</t>
  </si>
  <si>
    <t>Sum</t>
  </si>
  <si>
    <t>Curve</t>
  </si>
  <si>
    <t>Total Grade</t>
  </si>
  <si>
    <t>Notes:</t>
  </si>
  <si>
    <t>Wonkyo</t>
  </si>
  <si>
    <t>Jack</t>
  </si>
  <si>
    <t>Md  Fahim</t>
  </si>
  <si>
    <t>Steven</t>
  </si>
  <si>
    <t>Aidan</t>
  </si>
  <si>
    <t>Abby</t>
  </si>
  <si>
    <t>Johnathan</t>
  </si>
  <si>
    <t>Fletcher</t>
  </si>
  <si>
    <t>Connor</t>
  </si>
  <si>
    <t>Max</t>
  </si>
  <si>
    <t>Blake</t>
  </si>
  <si>
    <t>Ethan W</t>
  </si>
  <si>
    <t>Crystal</t>
  </si>
  <si>
    <t>Ivan</t>
  </si>
  <si>
    <t>Preston</t>
  </si>
  <si>
    <t>Zach S</t>
  </si>
  <si>
    <t>Ethan A</t>
  </si>
  <si>
    <t>Zach B</t>
  </si>
  <si>
    <t xml:space="preserve">TRISO transient stress and failure. In NSRR. RIA background. Doing fuel performance to supplement transient reactor testing with TRISO fuels. Background on TRISO structure. Identified key areas for TRISO fuels. NSRR is U-Zr-H water moderated, made for RIA testing. Four different energy depositions. Investigate different accident scenarios, including fuel melting. Much higher energy insertion than expected. Modified some of the material properties to handle up to melting and beyond. Fuel melts above 1250 J/g insertion. Hoop stress and SiC T vs time. Get tensile stresses in SiC, want to predict failure. Weibull distribution for failure. Characteristic strength has wide variability. Critiques: Energy depositions are so high that its not applicable. Lists possible enthalpy increases. Should have done irradiated TRISO, in addition to fresh. Material properties are flawed due to potential fuel melting. Assumes perfectly fabricated particle, not fabrication defects. Not looking at debonding. Pretty good slide design. Try to avoid slides with only images, harder for audience to follow along. Need text to guide. Also try to minimize white space, pretty good job here. </t>
  </si>
  <si>
    <t xml:space="preserve">Hydride distribution in Zr-4. Background on why/how hydrides form. Develop a Multiphysics model to predict hydride distribution. CTF code. DeCart neutronics code. 4x4 subassembly. 4 subchannels around each pin. BISON fuel performance code. Flow chart of code coupling. Temperature dependent solubility. Precipitation and dissolution models. BISON oxidation and pickup models. Power profile changes with time. Flattens and shifts up axially. Coupling greatly modifies the temperature profiles, especially at peaking. Higher dissolved hydrogen at colder regions. Hydride rim forms. More hydrides in inter-pellet gap. Limitations: only 2D-RZ, no azimuthal variations. Not able to look at full rods. Started at a given point, without the full lifetime. No feedback from hydrogen model on temperature/stress. Include shutdown and thermal transients. Good job on question. Good background, albeit brief. Good statement of goals. Very good presentation skills. Good critique, especially on the lack of feedback on hydride prediction. </t>
  </si>
  <si>
    <t xml:space="preserve">FeCrAl paper. Background on ATF. High temperature steam oxidation of Zr alloys. FeCrAl and SS-310 explored. SS-310 discarded because of Ni, of course. FeCrAl coating or as main cladding material. Overview of drawbacks of coating, push towards monolithic cladding. Have to increase enrichment and decrease cladding thickness. Neutronic analysis. Westinghouse 17x17 assemblies. 10 pellet model in BISON. Bounding creep models, high end Zr creep, low end no creep. Changes neutronics evolution. Increase Pu production because of slightly faster spectrum. Analysis of two creep rates, SHOULD be in between. Gas production vs time. Gas release as well. Largely temperature-based. Mostly got this. Different cases all converge at high T for temperatures. Got displacements as well. Got hoop stresses. Needs to explain the hoop stress evolution a bit more… Review: using assumed creep rates needs to be improved. Should do a full pin, instead of an abbreviated pin. This work filled a gap in performance, but didn’t discuss accident behavior. Should do accident testing. Larger scale. Right on time. Going a bit too quick. Good background. Good suggestions for future work. Good analysis. Could’ve been harsher on assumptions. </t>
  </si>
  <si>
    <t xml:space="preserve">CRUD analysis with MOOSE. Background on CRUD. Little schematic of CRUD. Overview of impact on fuel performance. Higher T leads to more CRUD. CRUD directly related to boiling. CIPS, from boron depositing in CRUD at the top. CRUD induced corrosion. Activation products from CRUD. Presenting multiple CRUD models. MAMBA-BDM program. Boron deposition model. Boiling chimney. 2-D heat conduction equation. Chemistry modeling. Solubility limits are temperature-dependent. Talked through the plots, but wasn’t convincing that he understood them all. Added in convective heat flow. Wasn’t clear what the 10micron vs 25 micron systems were. Convection only matters for 10 micron case. Comparing to experimental data. Authors suggest not imposing certain restrictions or assumptions. Analysis: needs to include two-phase flow. Restating some of the conclusions of the manuscript. Need improved data to feed into this model. Slightly under time. Limited references. Could have taken time to explain a few more terms or concepts. Pretty good slide design. Good organization. Wanted a more clear idea of the goal or objectives of the paper. You talked through the concepts of what the paper was discussing, but not specifically what they were trying to achieve. </t>
  </si>
  <si>
    <t>BISON/TRANSURANUS FGR models. Want to include transients for FGR. Background on fission gas effects. Three stage release recap. Microcracking/burst release. Spherical grains, constant bubble sizes. Simplified assumptions. Assumed saturation level of grain faces. Transients induce burst release. Was including criticisms throughout. This might be ok, but it does spread them out to present and contradict. Makes for a less coherent presentation. Very text heavy slides, viewing the presentation requires a lot of reading, and you going quickly makes it harder to absorb what youre presenting. Then you have a slide with only images, likely better to mix text/figures to better explain/display. Implement in both codes, and do a comparison to try to validate their implementation. Pulled data from IFPE database from 19 experiments. Mainly comparing to AN3 and AN4 fuel rods. Again, better to pair images with text. Improve predictions. Final analysis was good. Went through background slides very quickly. Better to condense slides to not jump through slides so quickly.</t>
  </si>
  <si>
    <t>ATF concepts. Uranium silicides. Lack of modeling info for U3Si2. Goal is to develop fission gas behavior model: multiscale, incorporating intra and intergranular gas bubbles. DFT for diffusion. BCA for re-solution. Mesoscale models for grain evolution. Kind of a rate theory. Compare to AI-7-1 expt. U3Si2 with SS cladding, Na bond. Comparing gas swelling and gas release. Good understanding of their presentation of results. Shows established evaluation of the presented information. Sensitivity analysis, identified the importance of this. Did the SA for gas release, as well as inter and intra granular swelling. Positives: Paper addresses a real problem, develops multiscale problem, transparency, SA. Negatives: Only single irradiation expt. Several inputs borrowed or assumed. Suggest explore ML techniques for generative data or UQ. Very good summary of the article, appropriate caveats. Very good overall. Good presentation skills.</t>
  </si>
  <si>
    <t xml:space="preserve">Multiphysics in SMRs. FEM based analysis. SIMONS reactor: small mobile reactor. 20 MW, gas cooled. UC fuel in a graphite monolith. Good introduction to the concept of the reactor. Good organization of the intro. FEniCS for thermo-mechanics. OpenMC based model. Relative error of keff.. with respect to what? What is the reference here? Assuming a lot of constant properties and constant states for their analysis.  Simplified model and validation. Coupling with neutronics code reduced error substantially for power prediction. Computed stresses and displacements as well as temperatures. Stresses are below limits. Pros: fully open source and extensible. Several ‘firsts’. Cons: scaled and simplified model. Tons of simplified properties and BCs. Suggestions: Couple to TH. Limited neutronics groupings. Shows a good understanding of neutron transport theory. Did ok with question. I like your slide design. Pretty solid. </t>
  </si>
  <si>
    <t xml:space="preserve">UO2-SiC composites. Intro: drawbacks of UO2. Introducing non-fuel ceramic can remove some of the negative aspects. Can reduce temperatures, thus reducing gas release. Previously done with BeO, now doing with SiC. Modeling with CAMPUS, based on COMSOL, compared against BISON, FRAPCON, ABAQUS. Correlation for effective thermal conductivity. Weight fractions for density and Cp. Mechanical properties volume weighted. 10 pellet rod. Not coupled to neutronics. 2D RZ model. Same O diffusion model from BISON. Largely treated as UO2 fuel evolution in terms of gas behavior. Up to 20 vol% SiC. Are they assuming the same volumetric heating rate? Thus higher enrichments are needed? Reasonable agreements with other codes. Gap closure occurs later with more SiC. Decrease in FGR with more SiC. Critique: Volume weighted material properties are too simple. Fuel fracture ignored. Borrowed behavior of UO2. Neglected effect of increasing %SiC. UO2/SiC interface effects are unknown. How does SiC impact cracking. Pretty strong critique, but identified the key areas of weakness. Good job here.  What is the microstructure of these systems? These are nano-precipitates? What kinds of weight fractions? Needed more information to understand the system. Should have included this in the background/intro. You could take a step down on your font sizes. Could have included a summary slide, either of your talk or of the manuscript itself. </t>
  </si>
  <si>
    <t xml:space="preserve">Fracture from thermal shock on UO2. Thermal gradient linked to kth. Stress gradient leading to thermal cracks. Soret diffusion. Self-shielding. Pores are crack initiators. Current model in this paper ignoring a variety of factors to only look at thermal gradient. Experimental quenching to induce a near quadratic thermal gradient. What kinds of gradients can you achieve from quenching like this? Different sintering processes, and different quenching times/temperatures. I didn’t quite understand about the half being insulated to induce a radial profile. Modeling in MOOSE, with phase field. Including different kinds of free energy to account for elastic effects and crack initiation. Instead of showing the images and talking through it, good to have some text to explain what the images are. Cant tell what the differences are in the conditions for different images. Model neglects pores, which might lead to discrepancies with experiment. I wanted a bit more critique. Included a good amount of future work. Some sparse slides. Try to limit white space. Either condense or add in images. Very text heavy slides in intro. </t>
  </si>
  <si>
    <t>CANDU fuel development. Multiscale modeling. CANDU, higher Q, higher T. Have their own codes that are 1D. Moving to 2D-RZ and mechanistic modeling. Looked at mixed oxide fuels. Critique: Didn’t explain the FAST code. Thermodynamic modeling to model UO2+x. Also looked at U-Mo fuel for Mg matrix inert fuel. Critique: No real mention of methods for thermodynamics. Mesoscale models, doing gas release related to interfacial energy. Shell porosity model: 2D embedded in 3D. Projects porosity onto 2D GrB network. Probably assume the dihedral angle. Critiques: Regular solution model. Porosity model with more grains and a free surface. This is too expensive. Atomic scale modeling, DFT+U for UO2. Actinoids? Vs actinides? Got some of the DFT wrong, but that’s ok, too many methods in this paper. Also did MD, EAM and MEAM, Ni and Xe in U. Critiques: lack of clarity for how atomistics is being included and how are these coupled, both with each other and how linked to higher length scales. Fuel experiments. Lots of fuel fab. Doing PIE with fuel fab. Critique: didn’t present new information. Final thoughts: Many parts seemed independent, would have been better to integrate the different aspects/scales. I like the presenting a section, and providing a critique on that section. It worked within the flow of the presentation and how you laid out the information. This is more of an overview paper. I should probably exclude this in the future, would be better to have a specific technical problem we are solving or addressing.</t>
  </si>
  <si>
    <t xml:space="preserve">LOCA in high burnup fuel in PWR. Decent background/intro. VERA-RELAP-BISON. Good slide design, good use of space, good organization. A little more voice volume would be good to improve your understandability. Be careful about including figures with very small text, without making the figures themselves larger, it can be hard to read. Good summary of their key results. Showed an understanding of what they were doing. Critical review: good comments on their strengths. Since Bison is coupled in, I didn’t quite get the mismatch. Maybe could’ve explained this more. Pretty good though. Also, your recording came to me blurry. Don’t know if that was an artifact of recording in powerpoint itself. I recommend doing the recording on zoom in the future with screen sharing. </t>
  </si>
  <si>
    <t xml:space="preserve">MOX for LWRs. ATFs. U/PuO2 for AP1000. Decent background to motivate the concept. Neutronics, TH, COMSOL, and more. MCNP and COMSOL are main tools. Slides are a bit bare bones in spots, but overly large text and lots of white space. If you spend less than 30 seconds on a slide, then it should probably be combined with other slides. I like that you took the data and made your own tables, rather than just copying the tables or data from the paper. Better to have descriptive text or discussing text attached with tables or figures, rather than just presenting them and verbally talking through. Didnt talk through why the temperatures were lower, would be good to contextualize all of these results. Why did you have two peaks in the displacement? Do you have two pellets? Critique: no economic analysis, doesn’t consider feasibility, only looks at physical/engineering capabilities. Deterministic vs stochastic. No real critique on what was done, only on what wasn’t done. Somewhat limited depth, didn’t really go beyond explicitly what was included in the paper, but this is a minor gripe for this. </t>
  </si>
  <si>
    <t>UO2-BeO in LWR. COMSOL/CAMPUS model framework. Good motivation for the paper. Good contextualizing of the impact of the thermal properties.  I think you misunderstood, the gap will definitely still close, just at a later point. I’m not a big fan of your slide design. The placement of the images and text seems to change with each slide, there tends to be too much white space. Maybe I’m too OCD, but this provides me with a scattered/disorganized impression of the presentation, just from slide design. Very good speaking skills. Critique: no experimental aspect of the topic. Somewhat fair, but this is a big ask. What I wasn’t clear on, were their thermal properties fit to experiments? Were they derived from composite models? Needed more specificity here. Would’ve liked to have seen you go deeper than only this paper, supplemental information and references would have strengthened both the contextualization of the paper, and illustrated some of the experimental efforts on this concept.</t>
  </si>
  <si>
    <t xml:space="preserve">LOCA with BISON. Separate effects experiments. Model development. Good statement of the objective. Intro to fuel performance. Intro to LOCA. Solid background. Good contextualization of the materials models for corrosion and creep. Solid critique of the added models. Fresh cladding modeling is clearly not ideal. I think you have a bit too much margin/white space on your slides. Can fill the space more adequately, but not a big deal. Why would the 3D inclusion make such an impact as changing the burst T? Good postulation on the ORNL expt. Would have been good to show a summary or justification for looking at these different experiments. Are they all serving as a comparison for the same thing, just different sets of data? Good identification of the unresolved gaps. Solid job overall. </t>
  </si>
  <si>
    <t xml:space="preserve">Can definitely slow down. Zoomed through the first couple slides. If you put the slides in, you should talk through them. COMSOL on TRISO. Good detail in identifying typos in their tables. Good talk through of the gas behavior model, this was pretty smooth. Good context on fission gas release comparisons. Could have used mouse/pointer to indicate the data which corresponds to what you are discussing. Good identification of key limitations. Very evident you went deeper than the surface level in this manuscript. Good critiques and recommendations for future work. Big takeaway is that you need to go slower. I felt rushed just watching it. I know I go too fast, but I also know I shouldn’t. You went very in-depth, but you should try to fit the technical content to the time slot. Overall, you did a great job, just tried to fit too much into too short a time. </t>
  </si>
  <si>
    <t xml:space="preserve">O diffusion in UO2. Provided good context for the paper in the scientific landscape. Should have provided some additional background into the problem they are addressing. Could show importance of O/M ratio on properties. They provide motivation for working on this, but you don’t show this context. Would have preferred you record on zoom doing screen sharing. Good discussion of strengths. Very good review of follow-on research that the paper inspired. This does provide key insight into what the paper did and didn’t do. But, would’ve preferred more analysis of the original paper. You had time to do more in-depth discussion/motivation. Good slide design. </t>
  </si>
  <si>
    <t xml:space="preserve">Point defect impact on kth degradation… Good statement of objectives of the paper, would’ve liked some motivation for why they are pursuing this topic. Could improve some slide design, like different font sizes, overly large equations, etc., like on slide (Rate Theory Model Sink Rates). Good technical walk through of the rate theory equations. Good work though of the results for the kth vs dpa and T, clearly contextualizing why the results appear as they do. But yeah, your fonts and slide design are all over the place. Needed some critique/analysis, not just a summary of the work done in the paper. Also, should have had a summary slide to wrap up the presentation. Was a good paper summary, but I needed the actual critical review to take place. This paper is maybe a bit too in-the-weeds thermal transport. I like it, but maybe not ideal for this. </t>
  </si>
  <si>
    <t>Cladding ballooning during NSRR RIA with ALCYONE. Good intro into RIA. Allow your text to get a bit too close to the edges, on some screens, this could be cut. Good to allow for some margin. Would prefer to avoid slides with ONLY images. I like to have text associated with the images to guide the audience to inform them what they are seeing, even if you are going to talk through it. But your ability to talk through the slides with only images shows a good understanding of the content. Good discussion of holes in their values of the boiling multiplier and the time delay. Really needed text or figure labels to be able to interpret what is going on. You discuss it all, but labels really help the audience interpret and associate your words with the figures. Slightly over time. Good job.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</si>
</sst>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 fontId="0" fillId="0" borderId="0" xfId="0" applyNumberFormat="1"/>
    <xf numFmtId="49" fontId="0" fillId="0" borderId="0" xfId="0" applyNumberFormat="1"/>
    <xf numFmtId="0" fontId="0" fillId="0" borderId="0" xfId="0" applyAlignment="1">
      <alignment wrapText="1"/>
    </xf>
    <xf numFmtId="0" fontId="0" fillId="0" borderId="0" xfId="0" applyAlignment="1">
      <alignment horizontal="center" vertical="center"/>
    </xf>
    <xf numFmtId="0" fontId="0" fillId="0" borderId="0" xfId="0"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183B6-343F-4945-B3A5-55040CEA3D4C}">
  <dimension ref="A2:AJ32"/>
  <sheetViews>
    <sheetView tabSelected="1" topLeftCell="A9" zoomScaleNormal="100" workbookViewId="0">
      <pane xSplit="1" topLeftCell="S1" activePane="topRight" state="frozen"/>
      <selection activeCell="A4" sqref="A4"/>
      <selection pane="topRight" activeCell="T23" sqref="T23"/>
    </sheetView>
  </sheetViews>
  <sheetFormatPr baseColWidth="10" defaultRowHeight="16" x14ac:dyDescent="0.2"/>
  <cols>
    <col min="1" max="1" width="27" customWidth="1"/>
    <col min="2" max="2" width="11.5" customWidth="1"/>
    <col min="4" max="12" width="37.1640625" customWidth="1"/>
    <col min="13" max="13" width="31.33203125" customWidth="1"/>
    <col min="14" max="21" width="32.6640625" customWidth="1"/>
  </cols>
  <sheetData>
    <row r="2" spans="1:21" x14ac:dyDescent="0.2">
      <c r="A2" t="s">
        <v>0</v>
      </c>
    </row>
    <row r="4" spans="1:21" x14ac:dyDescent="0.2">
      <c r="B4" t="s">
        <v>6</v>
      </c>
      <c r="C4" s="1" t="s">
        <v>7</v>
      </c>
    </row>
    <row r="5" spans="1:21" x14ac:dyDescent="0.2">
      <c r="B5" t="s">
        <v>8</v>
      </c>
      <c r="C5" s="1" t="s">
        <v>9</v>
      </c>
    </row>
    <row r="6" spans="1:21" x14ac:dyDescent="0.2">
      <c r="B6" t="s">
        <v>10</v>
      </c>
      <c r="C6" s="2" t="s">
        <v>13</v>
      </c>
    </row>
    <row r="7" spans="1:21" x14ac:dyDescent="0.2">
      <c r="B7" t="s">
        <v>11</v>
      </c>
      <c r="C7" s="1" t="s">
        <v>12</v>
      </c>
    </row>
    <row r="10" spans="1:21" x14ac:dyDescent="0.2">
      <c r="D10" t="s">
        <v>36</v>
      </c>
      <c r="E10" t="s">
        <v>19</v>
      </c>
      <c r="F10" t="s">
        <v>20</v>
      </c>
      <c r="G10" t="s">
        <v>21</v>
      </c>
      <c r="H10" t="s">
        <v>22</v>
      </c>
      <c r="I10" t="s">
        <v>23</v>
      </c>
      <c r="J10" t="s">
        <v>24</v>
      </c>
      <c r="K10" t="s">
        <v>25</v>
      </c>
      <c r="L10" t="s">
        <v>26</v>
      </c>
      <c r="M10" t="s">
        <v>27</v>
      </c>
      <c r="N10" t="s">
        <v>28</v>
      </c>
      <c r="O10" t="s">
        <v>29</v>
      </c>
      <c r="P10" t="s">
        <v>30</v>
      </c>
      <c r="Q10" t="s">
        <v>35</v>
      </c>
      <c r="R10" t="s">
        <v>31</v>
      </c>
      <c r="S10" t="s">
        <v>32</v>
      </c>
      <c r="T10" t="s">
        <v>33</v>
      </c>
      <c r="U10" t="s">
        <v>34</v>
      </c>
    </row>
    <row r="11" spans="1:21" x14ac:dyDescent="0.2">
      <c r="A11" t="s">
        <v>1</v>
      </c>
      <c r="D11">
        <v>19</v>
      </c>
      <c r="E11">
        <v>19</v>
      </c>
      <c r="F11">
        <v>18</v>
      </c>
      <c r="G11">
        <v>19</v>
      </c>
      <c r="H11">
        <v>18</v>
      </c>
      <c r="I11">
        <v>18</v>
      </c>
      <c r="J11">
        <v>18</v>
      </c>
      <c r="K11">
        <v>18</v>
      </c>
      <c r="L11">
        <v>19</v>
      </c>
      <c r="M11">
        <v>19</v>
      </c>
      <c r="N11">
        <v>18</v>
      </c>
      <c r="O11">
        <v>17</v>
      </c>
      <c r="P11">
        <v>18</v>
      </c>
      <c r="Q11">
        <v>19</v>
      </c>
      <c r="R11">
        <v>19</v>
      </c>
      <c r="S11">
        <v>16</v>
      </c>
      <c r="T11">
        <v>18</v>
      </c>
      <c r="U11">
        <v>19</v>
      </c>
    </row>
    <row r="12" spans="1:21" x14ac:dyDescent="0.2">
      <c r="A12" t="s">
        <v>2</v>
      </c>
      <c r="D12">
        <v>19</v>
      </c>
      <c r="E12">
        <v>19</v>
      </c>
      <c r="F12">
        <v>19</v>
      </c>
      <c r="G12">
        <v>18</v>
      </c>
      <c r="H12">
        <v>18</v>
      </c>
      <c r="I12">
        <v>17</v>
      </c>
      <c r="J12">
        <v>19</v>
      </c>
      <c r="K12">
        <v>18</v>
      </c>
      <c r="L12">
        <v>19</v>
      </c>
      <c r="M12">
        <v>18</v>
      </c>
      <c r="N12">
        <v>19</v>
      </c>
      <c r="O12">
        <v>18</v>
      </c>
      <c r="P12">
        <v>17</v>
      </c>
      <c r="Q12">
        <v>19</v>
      </c>
      <c r="R12">
        <v>19</v>
      </c>
      <c r="S12">
        <v>18</v>
      </c>
      <c r="T12">
        <v>15</v>
      </c>
      <c r="U12">
        <v>19</v>
      </c>
    </row>
    <row r="13" spans="1:21" x14ac:dyDescent="0.2">
      <c r="A13" t="s">
        <v>3</v>
      </c>
      <c r="D13">
        <v>19</v>
      </c>
      <c r="E13">
        <v>19</v>
      </c>
      <c r="F13">
        <v>18</v>
      </c>
      <c r="G13">
        <v>18</v>
      </c>
      <c r="H13">
        <v>18</v>
      </c>
      <c r="I13">
        <v>17</v>
      </c>
      <c r="J13">
        <v>19</v>
      </c>
      <c r="K13">
        <v>18</v>
      </c>
      <c r="L13">
        <v>18</v>
      </c>
      <c r="M13">
        <v>18</v>
      </c>
      <c r="N13">
        <v>19</v>
      </c>
      <c r="O13">
        <v>17</v>
      </c>
      <c r="P13">
        <v>18</v>
      </c>
      <c r="Q13">
        <v>19</v>
      </c>
      <c r="R13">
        <v>19</v>
      </c>
      <c r="S13">
        <v>18</v>
      </c>
      <c r="T13">
        <v>18</v>
      </c>
      <c r="U13">
        <v>19</v>
      </c>
    </row>
    <row r="14" spans="1:21" x14ac:dyDescent="0.2">
      <c r="A14" t="s">
        <v>4</v>
      </c>
      <c r="D14">
        <v>18</v>
      </c>
      <c r="E14">
        <v>19</v>
      </c>
      <c r="F14">
        <v>16</v>
      </c>
      <c r="G14">
        <v>19</v>
      </c>
      <c r="H14">
        <v>19</v>
      </c>
      <c r="I14">
        <v>18</v>
      </c>
      <c r="J14">
        <v>19</v>
      </c>
      <c r="K14">
        <v>17</v>
      </c>
      <c r="L14">
        <v>19</v>
      </c>
      <c r="M14">
        <v>18</v>
      </c>
      <c r="N14">
        <v>18</v>
      </c>
      <c r="O14">
        <v>17</v>
      </c>
      <c r="P14">
        <v>17</v>
      </c>
      <c r="Q14">
        <v>18</v>
      </c>
      <c r="R14">
        <v>17</v>
      </c>
      <c r="S14">
        <v>17</v>
      </c>
      <c r="T14">
        <v>18</v>
      </c>
      <c r="U14">
        <v>17</v>
      </c>
    </row>
    <row r="15" spans="1:21" x14ac:dyDescent="0.2">
      <c r="A15" t="s">
        <v>5</v>
      </c>
      <c r="D15">
        <v>18</v>
      </c>
      <c r="E15">
        <v>19</v>
      </c>
      <c r="F15">
        <v>16</v>
      </c>
      <c r="G15">
        <v>18</v>
      </c>
      <c r="H15">
        <v>18</v>
      </c>
      <c r="I15">
        <v>19</v>
      </c>
      <c r="J15">
        <v>19</v>
      </c>
      <c r="K15">
        <v>18</v>
      </c>
      <c r="L15">
        <v>19</v>
      </c>
      <c r="M15">
        <v>17</v>
      </c>
      <c r="N15">
        <v>19</v>
      </c>
      <c r="O15">
        <v>17</v>
      </c>
      <c r="P15">
        <v>18</v>
      </c>
      <c r="Q15">
        <v>18</v>
      </c>
      <c r="R15">
        <v>17</v>
      </c>
      <c r="S15">
        <v>18</v>
      </c>
      <c r="T15">
        <v>16</v>
      </c>
      <c r="U15">
        <v>16</v>
      </c>
    </row>
    <row r="16" spans="1:21" ht="245" customHeight="1" x14ac:dyDescent="0.2">
      <c r="A16" t="s">
        <v>14</v>
      </c>
      <c r="D16" s="3" t="s">
        <v>37</v>
      </c>
      <c r="E16" s="3" t="s">
        <v>42</v>
      </c>
      <c r="F16" s="3" t="s">
        <v>41</v>
      </c>
      <c r="G16" s="3" t="s">
        <v>47</v>
      </c>
      <c r="H16" s="3" t="s">
        <v>43</v>
      </c>
      <c r="I16" s="3" t="s">
        <v>40</v>
      </c>
      <c r="J16" s="3" t="s">
        <v>38</v>
      </c>
      <c r="K16" s="3" t="s">
        <v>48</v>
      </c>
      <c r="L16" s="3" t="s">
        <v>46</v>
      </c>
      <c r="M16" s="3" t="s">
        <v>39</v>
      </c>
      <c r="N16" s="3" t="s">
        <v>44</v>
      </c>
      <c r="O16" s="3" t="s">
        <v>49</v>
      </c>
      <c r="P16" s="3" t="s">
        <v>45</v>
      </c>
      <c r="Q16" s="3" t="s">
        <v>50</v>
      </c>
      <c r="R16" s="3" t="s">
        <v>51</v>
      </c>
      <c r="S16" s="3" t="s">
        <v>52</v>
      </c>
      <c r="T16" s="3" t="s">
        <v>53</v>
      </c>
      <c r="U16" s="3" t="s">
        <v>54</v>
      </c>
    </row>
    <row r="18" spans="1:36" x14ac:dyDescent="0.2">
      <c r="A18" t="s">
        <v>15</v>
      </c>
      <c r="D18">
        <f t="shared" ref="D18:G18" si="0">SUM(D11:D15)</f>
        <v>93</v>
      </c>
      <c r="E18">
        <f t="shared" si="0"/>
        <v>95</v>
      </c>
      <c r="F18">
        <f t="shared" si="0"/>
        <v>87</v>
      </c>
      <c r="G18">
        <f t="shared" si="0"/>
        <v>92</v>
      </c>
      <c r="H18">
        <f>SUM(H11:H15)</f>
        <v>91</v>
      </c>
      <c r="I18">
        <f>SUM(I11:I15)</f>
        <v>89</v>
      </c>
      <c r="J18">
        <f t="shared" ref="J18:L18" si="1">SUM(J11:J15)</f>
        <v>94</v>
      </c>
      <c r="K18">
        <f>SUM(K11:K15)</f>
        <v>89</v>
      </c>
      <c r="L18">
        <f t="shared" si="1"/>
        <v>94</v>
      </c>
      <c r="M18">
        <f t="shared" ref="M18:S18" si="2">SUM(M11:M15)</f>
        <v>90</v>
      </c>
      <c r="N18">
        <f t="shared" si="2"/>
        <v>93</v>
      </c>
      <c r="O18">
        <f t="shared" si="2"/>
        <v>86</v>
      </c>
      <c r="P18">
        <f t="shared" si="2"/>
        <v>88</v>
      </c>
      <c r="Q18">
        <f t="shared" si="2"/>
        <v>93</v>
      </c>
      <c r="R18">
        <f t="shared" si="2"/>
        <v>91</v>
      </c>
      <c r="S18">
        <f t="shared" si="2"/>
        <v>87</v>
      </c>
      <c r="T18">
        <f t="shared" ref="T18:U18" si="3">SUM(T11:T15)</f>
        <v>85</v>
      </c>
      <c r="U18">
        <f t="shared" si="3"/>
        <v>90</v>
      </c>
    </row>
    <row r="19" spans="1:36" x14ac:dyDescent="0.2">
      <c r="A19" t="s">
        <v>16</v>
      </c>
      <c r="D19">
        <v>5</v>
      </c>
      <c r="E19">
        <v>5</v>
      </c>
      <c r="F19">
        <v>5</v>
      </c>
      <c r="G19">
        <v>5</v>
      </c>
      <c r="H19">
        <v>5</v>
      </c>
      <c r="I19">
        <v>5</v>
      </c>
      <c r="J19">
        <v>5</v>
      </c>
      <c r="K19">
        <v>5</v>
      </c>
      <c r="L19">
        <v>5</v>
      </c>
      <c r="M19">
        <v>5</v>
      </c>
      <c r="N19">
        <v>5</v>
      </c>
      <c r="O19">
        <v>5</v>
      </c>
      <c r="P19">
        <v>5</v>
      </c>
      <c r="Q19">
        <v>5</v>
      </c>
      <c r="R19">
        <v>5</v>
      </c>
      <c r="S19">
        <v>5</v>
      </c>
      <c r="T19">
        <v>5</v>
      </c>
      <c r="U19">
        <v>5</v>
      </c>
    </row>
    <row r="20" spans="1:36" x14ac:dyDescent="0.2">
      <c r="A20" t="s">
        <v>17</v>
      </c>
      <c r="D20">
        <f t="shared" ref="D20:L20" si="4">SUM(D18:D19)</f>
        <v>98</v>
      </c>
      <c r="E20">
        <f t="shared" si="4"/>
        <v>100</v>
      </c>
      <c r="F20">
        <f t="shared" si="4"/>
        <v>92</v>
      </c>
      <c r="G20">
        <f t="shared" si="4"/>
        <v>97</v>
      </c>
      <c r="H20">
        <f t="shared" si="4"/>
        <v>96</v>
      </c>
      <c r="I20">
        <f t="shared" si="4"/>
        <v>94</v>
      </c>
      <c r="J20">
        <f t="shared" si="4"/>
        <v>99</v>
      </c>
      <c r="K20">
        <f t="shared" si="4"/>
        <v>94</v>
      </c>
      <c r="L20">
        <f t="shared" si="4"/>
        <v>99</v>
      </c>
      <c r="M20">
        <f t="shared" ref="M20:S20" si="5">SUM(M18:M19)</f>
        <v>95</v>
      </c>
      <c r="N20">
        <f t="shared" si="5"/>
        <v>98</v>
      </c>
      <c r="O20">
        <f t="shared" si="5"/>
        <v>91</v>
      </c>
      <c r="P20">
        <f t="shared" si="5"/>
        <v>93</v>
      </c>
      <c r="Q20">
        <f t="shared" si="5"/>
        <v>98</v>
      </c>
      <c r="R20">
        <f t="shared" si="5"/>
        <v>96</v>
      </c>
      <c r="S20">
        <f t="shared" si="5"/>
        <v>92</v>
      </c>
      <c r="T20">
        <f t="shared" ref="T20:U20" si="6">SUM(T18:T19)</f>
        <v>90</v>
      </c>
      <c r="U20">
        <f t="shared" si="6"/>
        <v>95</v>
      </c>
    </row>
    <row r="22" spans="1:36" x14ac:dyDescent="0.2">
      <c r="S22">
        <v>98</v>
      </c>
      <c r="T22">
        <v>100</v>
      </c>
      <c r="U22">
        <v>92</v>
      </c>
      <c r="V22">
        <v>97</v>
      </c>
      <c r="W22">
        <v>96</v>
      </c>
      <c r="X22">
        <v>94</v>
      </c>
      <c r="Y22">
        <v>99</v>
      </c>
      <c r="Z22">
        <v>94</v>
      </c>
      <c r="AA22">
        <v>99</v>
      </c>
      <c r="AB22">
        <v>95</v>
      </c>
      <c r="AC22">
        <v>98</v>
      </c>
      <c r="AD22">
        <v>91</v>
      </c>
      <c r="AE22">
        <v>93</v>
      </c>
      <c r="AF22">
        <v>98</v>
      </c>
      <c r="AG22">
        <v>96</v>
      </c>
      <c r="AH22">
        <v>92</v>
      </c>
      <c r="AI22">
        <v>90</v>
      </c>
      <c r="AJ22">
        <v>95</v>
      </c>
    </row>
    <row r="24" spans="1:36" x14ac:dyDescent="0.2">
      <c r="A24" s="4" t="s">
        <v>1</v>
      </c>
      <c r="B24" s="4"/>
      <c r="C24" s="4"/>
      <c r="D24">
        <v>19</v>
      </c>
    </row>
    <row r="25" spans="1:36" x14ac:dyDescent="0.2">
      <c r="A25" s="4" t="s">
        <v>2</v>
      </c>
      <c r="B25" s="4"/>
      <c r="C25" s="4"/>
      <c r="D25">
        <v>19</v>
      </c>
    </row>
    <row r="26" spans="1:36" x14ac:dyDescent="0.2">
      <c r="A26" s="4" t="s">
        <v>3</v>
      </c>
      <c r="B26" s="4"/>
      <c r="C26" s="4"/>
      <c r="D26">
        <v>19</v>
      </c>
    </row>
    <row r="27" spans="1:36" x14ac:dyDescent="0.2">
      <c r="A27" s="4" t="s">
        <v>4</v>
      </c>
      <c r="B27" s="4"/>
      <c r="C27" s="4"/>
      <c r="D27">
        <v>17</v>
      </c>
    </row>
    <row r="28" spans="1:36" x14ac:dyDescent="0.2">
      <c r="A28" s="4" t="s">
        <v>5</v>
      </c>
      <c r="B28" s="4"/>
      <c r="C28" s="4"/>
      <c r="D28">
        <v>16</v>
      </c>
    </row>
    <row r="29" spans="1:36" ht="229" customHeight="1" x14ac:dyDescent="0.2">
      <c r="A29" s="4" t="s">
        <v>18</v>
      </c>
      <c r="B29" s="5"/>
      <c r="C29" s="4"/>
      <c r="D29" s="3" t="s">
        <v>54</v>
      </c>
    </row>
    <row r="30" spans="1:36" x14ac:dyDescent="0.2">
      <c r="A30" s="4" t="s">
        <v>15</v>
      </c>
      <c r="B30" s="4"/>
      <c r="C30" s="4"/>
      <c r="D30" s="4">
        <f>SUM(D24:D28)</f>
        <v>90</v>
      </c>
    </row>
    <row r="31" spans="1:36" x14ac:dyDescent="0.2">
      <c r="A31" s="4" t="s">
        <v>16</v>
      </c>
      <c r="B31" s="4"/>
      <c r="C31" s="4"/>
      <c r="D31" s="4">
        <v>5</v>
      </c>
    </row>
    <row r="32" spans="1:36" x14ac:dyDescent="0.2">
      <c r="A32" s="4" t="s">
        <v>17</v>
      </c>
      <c r="B32" s="4"/>
      <c r="C32" s="4"/>
      <c r="D32" s="4">
        <f>SUM(D30:D31)</f>
        <v>95</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W. Beeler</dc:creator>
  <cp:lastModifiedBy>Benjamin Beeler</cp:lastModifiedBy>
  <dcterms:created xsi:type="dcterms:W3CDTF">2024-03-21T17:20:15Z</dcterms:created>
  <dcterms:modified xsi:type="dcterms:W3CDTF">2026-04-21T12:24:18Z</dcterms:modified>
</cp:coreProperties>
</file>