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beelbw/projects/TEACHING/Advanced Reactor Materials/Fall2026/"/>
    </mc:Choice>
  </mc:AlternateContent>
  <xr:revisionPtr revIDLastSave="0" documentId="13_ncr:1_{E6A4D8A9-8E8A-9644-B6E7-90F0B12BDB93}" xr6:coauthVersionLast="47" xr6:coauthVersionMax="47" xr10:uidLastSave="{00000000-0000-0000-0000-000000000000}"/>
  <bookViews>
    <workbookView xWindow="5060" yWindow="6780" windowWidth="26040" windowHeight="17180" xr2:uid="{86373935-D16D-7E49-AE9B-FB508A32B9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 l="1"/>
  <c r="H16" i="1"/>
  <c r="I16" i="1"/>
  <c r="J16" i="1"/>
  <c r="J18" i="1" s="1"/>
  <c r="K16" i="1"/>
  <c r="K18" i="1" s="1"/>
  <c r="L16" i="1"/>
  <c r="L18" i="1" s="1"/>
  <c r="H18" i="1"/>
  <c r="I18" i="1"/>
  <c r="D18" i="1"/>
  <c r="E16" i="1"/>
  <c r="E18" i="1" s="1"/>
  <c r="F16" i="1"/>
  <c r="F18" i="1"/>
  <c r="G18" i="1"/>
  <c r="G16" i="1"/>
</calcChain>
</file>

<file path=xl/sharedStrings.xml><?xml version="1.0" encoding="utf-8"?>
<sst xmlns="http://schemas.openxmlformats.org/spreadsheetml/2006/main" count="34" uniqueCount="34">
  <si>
    <t>Paper Project Grading</t>
  </si>
  <si>
    <t>Evaluation of Scientific Info</t>
  </si>
  <si>
    <t>Organization</t>
  </si>
  <si>
    <t>Style/Delivery</t>
  </si>
  <si>
    <t>Excellent</t>
  </si>
  <si>
    <t>17-20</t>
  </si>
  <si>
    <t>Good</t>
  </si>
  <si>
    <t>13-16</t>
  </si>
  <si>
    <t>Fair</t>
  </si>
  <si>
    <t>Poor</t>
  </si>
  <si>
    <t>&lt;8</t>
  </si>
  <si>
    <t>8-12</t>
  </si>
  <si>
    <t>Notes</t>
  </si>
  <si>
    <t>Sum</t>
  </si>
  <si>
    <t>Curve</t>
  </si>
  <si>
    <t>Total Grade</t>
  </si>
  <si>
    <t>Alexandra Doherty</t>
  </si>
  <si>
    <t>Anthony Cowan</t>
  </si>
  <si>
    <t>Cecilia Harrison</t>
  </si>
  <si>
    <t>Gwen White</t>
  </si>
  <si>
    <t>Josephine Hartmann</t>
  </si>
  <si>
    <t>Kyle Holloway</t>
  </si>
  <si>
    <t>Rashed Almasri</t>
  </si>
  <si>
    <t>Emily Quisenberry</t>
  </si>
  <si>
    <t>Justin Yarrington</t>
  </si>
  <si>
    <t>Good presentation style. Good eye contact. Generally good slide design, bit too much white space on some slides. Could have gone a bit deeper. Went too much into fundamentals of swelling/rad damage, I liked this, but it wasnt really needed here. The materials of interest could have been pursued further. But you hit on fundamental concepts.</t>
  </si>
  <si>
    <t>Good background of HTGRs. Good outline of IHX types vs T range. Not in love with the slide 7/8 and 18/19 organizational structure. Felt excessive, but that might be my taste. Could have talked more about HX design, and potential advanced concepts. Slide design is decent, but a bit close to edges of the slides, can leave some margins for better aesthetics. The He embrittlement image didnt really add anything, as this was just depth profile from He implantation. Good presentation skills.</t>
  </si>
  <si>
    <t>Slide design generally not my favorite. Quite large font with sparse text. Could have combined some intro slides. Not sure if the terminology page was needed, really only used these terms once or twice, could have introduced on those slides. Good description and images of SiC fiber braiding with matrix. Fuel can still fragment and relocate, just likely not be dispersed. Could have compared thermal properties to Zr. Bit confusing talking about good oxidation behavior, but poor water corrosion. Good areas for future work. Good overall identification of key areas of interest/need.</t>
  </si>
  <si>
    <t xml:space="preserve">Good background on basic components of CERMET. Could have more thoroughly described geometries, including the monolith, and particle free zones in matrix. Could have more clearly said U-alloy concepts, instead of U metal matrix; nomenclature is misleading. Could have been more specific in discussing fuel loss. Was unsure about concept of plenum for these fuels, doesnt match your description of geometries. I would have introduced NTP in the beginning as a potential application, rather than towards the end. Good job answering questions, good presentation skills. </t>
  </si>
  <si>
    <t xml:space="preserve">My fault for having overlap between your topic and Lexi, should have specified. But you identified the different applications. Text getting a bit close to the boundaries, could have done with some margins to improve slide aesthetics. The background to motivate NE wasnt really needed for this audience, but I understand you wanting to get to addressing the issue of waste. I dont really consider solid solution ceramics to be IMFs, it is really a MOX fuel. Its a waste burner concept, but not an IMF concept. I wanted more conceptual design, properties, irradiation performance, maybe less on fabrication. I was left wanting more information about these fuel types. Good presentation skills. </t>
  </si>
  <si>
    <t>Good background into MSRs. I like the Ellingham diagram. I liked bringing the EDS maps, but I think they could have been discussed further or more clearly. Would prefer a text citation instead of a screenshot of the article title. Felt a bit too cursory, could have gone deeper on the technical material. There wasnt enough info here to provide sufficient context on the topic. Mixed title labeling on slides looks a bit sloppy. Frequently changing font sizes and cramming text around images isnt aesthetically pleasing. Good presentation skills.</t>
  </si>
  <si>
    <t>Good outline of the Rx type, history, advantages. Could have done more on the corrosion mechanisms. Micrographs wouldve been good. Some further illustration of the differences in the mechanisms. Maybe thermodynamics of reactions? Very good summary of the behavior of the different materials, but it felt very surface level. Always beneficial to have a summary slide. While this was a good 'state of knowledge' summary, it lacked some technical depth I was hoping for.</t>
  </si>
  <si>
    <t>Slide design notes: The black background is really stark. Not my preferred style. Also, its preferred to not have only text on slides. Good to have text to guide the viewer/reader to follow along with you. Would also prefer titles on all slides. Would also prefer a summary slide. Overall, hit the key technical features, the driving force behind annular/slotted fuels and their benefits. Glad you found and discussed Lightbridge. Could have maybe included something about fuel temperatures in annular designs, and how that would correlate to known phenomena such as redistribution. Overall very good job.</t>
  </si>
  <si>
    <t>Good slide design. You provided a good conceptual overview of the waste storage system which includes BS glass. However, I was wanting a further focus on the glass itself. Why is the glass used? Fundamentals of waste immobilization in the glass? Etc. So you kind of missed my intended point. Alloy 22 is a nickel-based alloy, not a steel. Good overview of different means of corrosion that can take place within these larger engineering systems. Good organization, logical workthrough. Overall a good presentation, just wasnt quite what I was hoping to get insights 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</si>
</sst>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49" fontId="0" fillId="0" borderId="0" xfId="0" applyNumberFormat="1"/>
    <xf numFmtId="0" fontId="0" fillId="0" borderId="0" xfId="0" applyAlignment="1">
      <alignment wrapText="1"/>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83B6-343F-4945-B3A5-55040CEA3D4C}">
  <dimension ref="A2:L30"/>
  <sheetViews>
    <sheetView tabSelected="1" zoomScaleNormal="100" workbookViewId="0">
      <pane xSplit="1" topLeftCell="B1" activePane="topRight" state="frozen"/>
      <selection activeCell="A4" sqref="A4"/>
      <selection pane="topRight" activeCell="D16" sqref="D16"/>
    </sheetView>
  </sheetViews>
  <sheetFormatPr baseColWidth="10" defaultRowHeight="16" x14ac:dyDescent="0.2"/>
  <cols>
    <col min="1" max="1" width="27" customWidth="1"/>
    <col min="2" max="2" width="11.5" customWidth="1"/>
    <col min="4" max="12" width="37.1640625" customWidth="1"/>
  </cols>
  <sheetData>
    <row r="2" spans="1:12" x14ac:dyDescent="0.2">
      <c r="A2" t="s">
        <v>0</v>
      </c>
    </row>
    <row r="4" spans="1:12" x14ac:dyDescent="0.2">
      <c r="B4" t="s">
        <v>4</v>
      </c>
      <c r="C4" s="1" t="s">
        <v>5</v>
      </c>
    </row>
    <row r="5" spans="1:12" x14ac:dyDescent="0.2">
      <c r="B5" t="s">
        <v>6</v>
      </c>
      <c r="C5" s="1" t="s">
        <v>7</v>
      </c>
    </row>
    <row r="6" spans="1:12" x14ac:dyDescent="0.2">
      <c r="B6" t="s">
        <v>8</v>
      </c>
      <c r="C6" s="2" t="s">
        <v>11</v>
      </c>
    </row>
    <row r="7" spans="1:12" x14ac:dyDescent="0.2">
      <c r="B7" t="s">
        <v>9</v>
      </c>
      <c r="C7" s="1" t="s">
        <v>10</v>
      </c>
    </row>
    <row r="10" spans="1:12" x14ac:dyDescent="0.2">
      <c r="D10" t="s">
        <v>16</v>
      </c>
      <c r="E10" t="s">
        <v>17</v>
      </c>
      <c r="F10" t="s">
        <v>18</v>
      </c>
      <c r="G10" t="s">
        <v>19</v>
      </c>
      <c r="H10" t="s">
        <v>20</v>
      </c>
      <c r="I10" t="s">
        <v>21</v>
      </c>
      <c r="J10" t="s">
        <v>22</v>
      </c>
      <c r="K10" t="s">
        <v>23</v>
      </c>
      <c r="L10" t="s">
        <v>24</v>
      </c>
    </row>
    <row r="11" spans="1:12" x14ac:dyDescent="0.2">
      <c r="A11" t="s">
        <v>1</v>
      </c>
      <c r="D11">
        <v>18</v>
      </c>
      <c r="E11">
        <v>16</v>
      </c>
      <c r="F11">
        <v>17</v>
      </c>
      <c r="G11">
        <v>16</v>
      </c>
      <c r="H11">
        <v>16</v>
      </c>
      <c r="I11">
        <v>17</v>
      </c>
      <c r="J11">
        <v>17</v>
      </c>
      <c r="K11">
        <v>18</v>
      </c>
      <c r="L11">
        <v>16</v>
      </c>
    </row>
    <row r="12" spans="1:12" x14ac:dyDescent="0.2">
      <c r="A12" t="s">
        <v>2</v>
      </c>
      <c r="D12">
        <v>18</v>
      </c>
      <c r="E12">
        <v>18</v>
      </c>
      <c r="F12">
        <v>17</v>
      </c>
      <c r="G12">
        <v>19</v>
      </c>
      <c r="H12">
        <v>16</v>
      </c>
      <c r="I12">
        <v>17</v>
      </c>
      <c r="J12">
        <v>18</v>
      </c>
      <c r="K12">
        <v>15</v>
      </c>
      <c r="L12">
        <v>19</v>
      </c>
    </row>
    <row r="13" spans="1:12" x14ac:dyDescent="0.2">
      <c r="A13" t="s">
        <v>3</v>
      </c>
      <c r="D13">
        <v>19</v>
      </c>
      <c r="E13">
        <v>19</v>
      </c>
      <c r="F13">
        <v>19</v>
      </c>
      <c r="G13">
        <v>19</v>
      </c>
      <c r="H13">
        <v>19</v>
      </c>
      <c r="I13">
        <v>19</v>
      </c>
      <c r="J13">
        <v>19</v>
      </c>
      <c r="K13">
        <v>19</v>
      </c>
      <c r="L13">
        <v>19</v>
      </c>
    </row>
    <row r="14" spans="1:12" ht="245" customHeight="1" x14ac:dyDescent="0.2">
      <c r="A14" t="s">
        <v>12</v>
      </c>
      <c r="D14" s="3" t="s">
        <v>28</v>
      </c>
      <c r="E14" s="3" t="s">
        <v>31</v>
      </c>
      <c r="F14" s="3" t="s">
        <v>27</v>
      </c>
      <c r="G14" s="3" t="s">
        <v>25</v>
      </c>
      <c r="H14" s="3" t="s">
        <v>30</v>
      </c>
      <c r="I14" s="3" t="s">
        <v>29</v>
      </c>
      <c r="J14" s="3" t="s">
        <v>26</v>
      </c>
      <c r="K14" s="3" t="s">
        <v>32</v>
      </c>
      <c r="L14" s="3" t="s">
        <v>33</v>
      </c>
    </row>
    <row r="16" spans="1:12" x14ac:dyDescent="0.2">
      <c r="A16" t="s">
        <v>13</v>
      </c>
      <c r="D16">
        <f>2*D11+D12+D13</f>
        <v>73</v>
      </c>
      <c r="E16">
        <f t="shared" ref="D16:F16" si="0">2*E11+E12+E13</f>
        <v>69</v>
      </c>
      <c r="F16">
        <f t="shared" si="0"/>
        <v>70</v>
      </c>
      <c r="G16">
        <f>2*G11+G12+G13</f>
        <v>70</v>
      </c>
      <c r="H16">
        <f t="shared" ref="H16:L16" si="1">2*H11+H12+H13</f>
        <v>67</v>
      </c>
      <c r="I16">
        <f t="shared" si="1"/>
        <v>70</v>
      </c>
      <c r="J16">
        <f t="shared" si="1"/>
        <v>71</v>
      </c>
      <c r="K16">
        <f t="shared" si="1"/>
        <v>70</v>
      </c>
      <c r="L16">
        <f t="shared" si="1"/>
        <v>70</v>
      </c>
    </row>
    <row r="17" spans="1:12" x14ac:dyDescent="0.2">
      <c r="A17" t="s">
        <v>14</v>
      </c>
      <c r="D17">
        <v>7</v>
      </c>
      <c r="E17">
        <v>7</v>
      </c>
      <c r="F17">
        <v>7</v>
      </c>
      <c r="G17">
        <v>7</v>
      </c>
      <c r="H17">
        <v>7</v>
      </c>
      <c r="I17">
        <v>7</v>
      </c>
      <c r="J17">
        <v>7</v>
      </c>
      <c r="K17">
        <v>7</v>
      </c>
      <c r="L17">
        <v>7</v>
      </c>
    </row>
    <row r="18" spans="1:12" x14ac:dyDescent="0.2">
      <c r="A18" t="s">
        <v>15</v>
      </c>
      <c r="D18" s="4">
        <f t="shared" ref="D18:F18" si="2">SUM(D16:D17)/80</f>
        <v>1</v>
      </c>
      <c r="E18" s="4">
        <f t="shared" si="2"/>
        <v>0.95</v>
      </c>
      <c r="F18" s="4">
        <f t="shared" si="2"/>
        <v>0.96250000000000002</v>
      </c>
      <c r="G18" s="4">
        <f>SUM(G16:G17)/80</f>
        <v>0.96250000000000002</v>
      </c>
      <c r="H18" s="4">
        <f t="shared" ref="H18:L18" si="3">SUM(H16:H17)/80</f>
        <v>0.92500000000000004</v>
      </c>
      <c r="I18" s="4">
        <f t="shared" si="3"/>
        <v>0.96250000000000002</v>
      </c>
      <c r="J18" s="4">
        <f t="shared" si="3"/>
        <v>0.97499999999999998</v>
      </c>
      <c r="K18" s="4">
        <f t="shared" si="3"/>
        <v>0.96250000000000002</v>
      </c>
      <c r="L18" s="4">
        <f t="shared" si="3"/>
        <v>0.96250000000000002</v>
      </c>
    </row>
    <row r="26" spans="1:12" ht="229" customHeight="1" x14ac:dyDescent="0.2">
      <c r="B26" s="3"/>
      <c r="D26" s="3"/>
    </row>
    <row r="30" spans="1:12" x14ac:dyDescent="0.2">
      <c r="D30" s="4"/>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W. Beeler</dc:creator>
  <cp:lastModifiedBy>Benjamin Beeler</cp:lastModifiedBy>
  <dcterms:created xsi:type="dcterms:W3CDTF">2024-03-21T17:20:15Z</dcterms:created>
  <dcterms:modified xsi:type="dcterms:W3CDTF">2026-10-22T13:47:11Z</dcterms:modified>
</cp:coreProperties>
</file>