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TEACHING/Advanced Reactor Materials/Fall2026/"/>
    </mc:Choice>
  </mc:AlternateContent>
  <xr:revisionPtr revIDLastSave="0" documentId="13_ncr:1_{52D62988-4E66-874D-AE60-110BC7E95F89}" xr6:coauthVersionLast="47" xr6:coauthVersionMax="47" xr10:uidLastSave="{00000000-0000-0000-0000-000000000000}"/>
  <bookViews>
    <workbookView xWindow="5520" yWindow="3820" windowWidth="24220" windowHeight="17440" activeTab="1" xr2:uid="{4E6CEA4E-2509-754B-9890-44C713F10933}"/>
  </bookViews>
  <sheets>
    <sheet name="Contacts" sheetId="2" r:id="rId1"/>
    <sheet name="Grad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" i="1" l="1"/>
  <c r="R59" i="1"/>
  <c r="S59" i="1"/>
  <c r="T59" i="1"/>
  <c r="U59" i="1"/>
  <c r="V59" i="1"/>
  <c r="W59" i="1"/>
  <c r="X59" i="1"/>
  <c r="P59" i="1"/>
  <c r="E59" i="1"/>
  <c r="F59" i="1"/>
  <c r="G59" i="1"/>
  <c r="H59" i="1"/>
  <c r="I59" i="1"/>
  <c r="J59" i="1"/>
  <c r="K59" i="1"/>
  <c r="L59" i="1"/>
  <c r="M59" i="1"/>
  <c r="N59" i="1"/>
  <c r="D59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O18" i="1"/>
  <c r="N18" i="1"/>
  <c r="M18" i="1"/>
  <c r="L18" i="1"/>
  <c r="L13" i="1"/>
  <c r="M13" i="1"/>
  <c r="N13" i="1"/>
  <c r="O13" i="1"/>
  <c r="L14" i="1"/>
  <c r="M14" i="1"/>
  <c r="N14" i="1"/>
  <c r="O14" i="1"/>
  <c r="L15" i="1"/>
  <c r="M15" i="1"/>
  <c r="N15" i="1"/>
  <c r="O15" i="1"/>
  <c r="D28" i="1"/>
  <c r="D29" i="1"/>
  <c r="P46" i="1"/>
  <c r="Q46" i="1"/>
  <c r="R46" i="1"/>
  <c r="S46" i="1"/>
  <c r="T46" i="1"/>
  <c r="U46" i="1"/>
  <c r="V46" i="1"/>
  <c r="W46" i="1"/>
  <c r="X46" i="1"/>
  <c r="K6" i="1"/>
  <c r="K7" i="1"/>
  <c r="N46" i="1"/>
  <c r="N6" i="1"/>
  <c r="K8" i="1"/>
  <c r="K9" i="1"/>
  <c r="K10" i="1"/>
  <c r="K11" i="1"/>
  <c r="K12" i="1"/>
  <c r="K13" i="1"/>
  <c r="K14" i="1"/>
  <c r="P14" i="1" s="1"/>
  <c r="Q14" i="1" s="1"/>
  <c r="K15" i="1"/>
  <c r="K18" i="1"/>
  <c r="K19" i="1"/>
  <c r="K20" i="1"/>
  <c r="P20" i="1" s="1"/>
  <c r="Q20" i="1" s="1"/>
  <c r="K21" i="1"/>
  <c r="K22" i="1"/>
  <c r="K23" i="1"/>
  <c r="K24" i="1"/>
  <c r="K25" i="1"/>
  <c r="K26" i="1"/>
  <c r="P26" i="1" s="1"/>
  <c r="Q26" i="1" s="1"/>
  <c r="L7" i="1"/>
  <c r="L8" i="1"/>
  <c r="L9" i="1"/>
  <c r="L10" i="1"/>
  <c r="L11" i="1"/>
  <c r="L12" i="1"/>
  <c r="L6" i="1"/>
  <c r="D32" i="1"/>
  <c r="O6" i="1"/>
  <c r="M6" i="1"/>
  <c r="M7" i="1"/>
  <c r="O7" i="1"/>
  <c r="N7" i="1"/>
  <c r="M8" i="1"/>
  <c r="O8" i="1"/>
  <c r="N8" i="1"/>
  <c r="M9" i="1"/>
  <c r="O9" i="1"/>
  <c r="N9" i="1"/>
  <c r="M10" i="1"/>
  <c r="O10" i="1"/>
  <c r="N10" i="1"/>
  <c r="M11" i="1"/>
  <c r="O11" i="1"/>
  <c r="N11" i="1"/>
  <c r="M12" i="1"/>
  <c r="O12" i="1"/>
  <c r="N12" i="1"/>
  <c r="H28" i="1"/>
  <c r="H32" i="1" s="1"/>
  <c r="H29" i="1"/>
  <c r="G29" i="1"/>
  <c r="G28" i="1"/>
  <c r="G32" i="1" s="1"/>
  <c r="I28" i="1"/>
  <c r="I32" i="1" s="1"/>
  <c r="I29" i="1"/>
  <c r="F29" i="1"/>
  <c r="E46" i="1"/>
  <c r="F46" i="1"/>
  <c r="G46" i="1"/>
  <c r="H46" i="1"/>
  <c r="I46" i="1"/>
  <c r="J46" i="1"/>
  <c r="K46" i="1"/>
  <c r="L46" i="1"/>
  <c r="M46" i="1"/>
  <c r="D46" i="1"/>
  <c r="F28" i="1"/>
  <c r="F32" i="1" s="1"/>
  <c r="P21" i="1" l="1"/>
  <c r="Q21" i="1" s="1"/>
  <c r="P24" i="1"/>
  <c r="Q24" i="1" s="1"/>
  <c r="P18" i="1"/>
  <c r="Q18" i="1" s="1"/>
  <c r="P25" i="1"/>
  <c r="Q25" i="1" s="1"/>
  <c r="P15" i="1"/>
  <c r="Q15" i="1" s="1"/>
  <c r="P23" i="1"/>
  <c r="Q23" i="1" s="1"/>
  <c r="P22" i="1"/>
  <c r="Q22" i="1" s="1"/>
  <c r="P19" i="1"/>
  <c r="Q19" i="1" s="1"/>
  <c r="P13" i="1"/>
  <c r="Q13" i="1" s="1"/>
  <c r="P10" i="1"/>
  <c r="Q10" i="1" s="1"/>
  <c r="P9" i="1"/>
  <c r="Q9" i="1" s="1"/>
  <c r="P8" i="1"/>
  <c r="Q8" i="1" s="1"/>
  <c r="P7" i="1"/>
  <c r="Q7" i="1" s="1"/>
  <c r="P6" i="1"/>
  <c r="Q6" i="1" s="1"/>
  <c r="P12" i="1"/>
  <c r="Q12" i="1" s="1"/>
  <c r="P11" i="1"/>
  <c r="Q11" i="1" s="1"/>
  <c r="Q29" i="1" l="1"/>
  <c r="Q28" i="1"/>
</calcChain>
</file>

<file path=xl/sharedStrings.xml><?xml version="1.0" encoding="utf-8"?>
<sst xmlns="http://schemas.openxmlformats.org/spreadsheetml/2006/main" count="216" uniqueCount="79">
  <si>
    <t>Roster</t>
  </si>
  <si>
    <t>Distance</t>
  </si>
  <si>
    <t>Exam 1</t>
  </si>
  <si>
    <t>Exam 2</t>
  </si>
  <si>
    <t>Exam 3</t>
  </si>
  <si>
    <t>Exam 4</t>
  </si>
  <si>
    <t>Presentation</t>
  </si>
  <si>
    <t>Average</t>
  </si>
  <si>
    <t>Curve</t>
  </si>
  <si>
    <t>Total</t>
  </si>
  <si>
    <t>Values</t>
  </si>
  <si>
    <t>Grade Values</t>
  </si>
  <si>
    <t>sum</t>
  </si>
  <si>
    <t>Current</t>
  </si>
  <si>
    <t>Stdev</t>
  </si>
  <si>
    <t>avg</t>
  </si>
  <si>
    <t>stdev</t>
  </si>
  <si>
    <t>Survey Bonus</t>
  </si>
  <si>
    <t>Letter</t>
  </si>
  <si>
    <t>First name</t>
  </si>
  <si>
    <t>Last name</t>
  </si>
  <si>
    <t>Email address</t>
  </si>
  <si>
    <t>Groups</t>
  </si>
  <si>
    <t>Ethan</t>
  </si>
  <si>
    <t>Arnold</t>
  </si>
  <si>
    <t>earnold@ncsu.edu</t>
  </si>
  <si>
    <t>Souri</t>
  </si>
  <si>
    <t>Banerjee</t>
  </si>
  <si>
    <t>sbaner26@ncsu.edu</t>
  </si>
  <si>
    <t>Owen</t>
  </si>
  <si>
    <t>Bloise</t>
  </si>
  <si>
    <t>ombloise@ncsu.edu</t>
  </si>
  <si>
    <t>Crystal</t>
  </si>
  <si>
    <t>Bowers</t>
  </si>
  <si>
    <t>cbowers2@ncsu.edu</t>
  </si>
  <si>
    <t>Edward</t>
  </si>
  <si>
    <t>Cowles</t>
  </si>
  <si>
    <t>edcowles@ncsu.edu</t>
  </si>
  <si>
    <t>Dyuti</t>
  </si>
  <si>
    <t>Das</t>
  </si>
  <si>
    <t>ddas9@ncsu.edu</t>
  </si>
  <si>
    <t>Antanae</t>
  </si>
  <si>
    <t>Hanna</t>
  </si>
  <si>
    <t>ahanna2@ncsu.edu</t>
  </si>
  <si>
    <t>Steven</t>
  </si>
  <si>
    <t>Hood</t>
  </si>
  <si>
    <t>sthood2@ncsu.edu</t>
  </si>
  <si>
    <t>Lauren</t>
  </si>
  <si>
    <t>Hubert</t>
  </si>
  <si>
    <t>lehubert@ncsu.edu</t>
  </si>
  <si>
    <t>Fritz</t>
  </si>
  <si>
    <t>Humm</t>
  </si>
  <si>
    <t>fshumm@ncsu.edu</t>
  </si>
  <si>
    <t>Briana</t>
  </si>
  <si>
    <t>Laramee</t>
  </si>
  <si>
    <t>bklarame@ncsu.edu</t>
  </si>
  <si>
    <t>Billy</t>
  </si>
  <si>
    <t>Latkin</t>
  </si>
  <si>
    <t>welatkin@ncsu.edu</t>
  </si>
  <si>
    <t>Trevor</t>
  </si>
  <si>
    <t>Lillywhite</t>
  </si>
  <si>
    <t>tflillyw@ncsu.edu</t>
  </si>
  <si>
    <t>Cole</t>
  </si>
  <si>
    <t>Manfred</t>
  </si>
  <si>
    <t>nrmanfre@ncsu.edu</t>
  </si>
  <si>
    <t>Pittman</t>
  </si>
  <si>
    <t>ohpittma@ncsu.edu</t>
  </si>
  <si>
    <t>Nestor</t>
  </si>
  <si>
    <t>Rodriguez-Flores</t>
  </si>
  <si>
    <t>ngrodri2@ncsu.edu</t>
  </si>
  <si>
    <t>Troy</t>
  </si>
  <si>
    <t>Shuman</t>
  </si>
  <si>
    <t>tshuman@ncsu.edu</t>
  </si>
  <si>
    <t>Leeson</t>
  </si>
  <si>
    <t>Weaver</t>
  </si>
  <si>
    <t>lsweaver@ncsu.edu</t>
  </si>
  <si>
    <t>Wilson</t>
  </si>
  <si>
    <t>enwilso4@ncsu.edu</t>
  </si>
  <si>
    <t>Exam 1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</si>
</sst>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7E0D-F990-5D40-B1E5-8F8436570FB1}">
  <dimension ref="A4:E34"/>
  <sheetViews>
    <sheetView topLeftCell="A3" workbookViewId="0">
      <selection activeCell="B26" sqref="B26:C34"/>
    </sheetView>
  </sheetViews>
  <sheetFormatPr baseColWidth="10" defaultRowHeight="16" x14ac:dyDescent="0.2"/>
  <sheetData>
    <row r="4" spans="1:5" x14ac:dyDescent="0.2">
      <c r="B4" t="s">
        <v>19</v>
      </c>
      <c r="C4" t="s">
        <v>20</v>
      </c>
      <c r="D4" t="s">
        <v>21</v>
      </c>
      <c r="E4" t="s">
        <v>22</v>
      </c>
    </row>
    <row r="5" spans="1:5" x14ac:dyDescent="0.2">
      <c r="A5">
        <v>1</v>
      </c>
      <c r="B5" t="s">
        <v>23</v>
      </c>
      <c r="C5" t="s">
        <v>24</v>
      </c>
      <c r="D5" t="s">
        <v>25</v>
      </c>
    </row>
    <row r="6" spans="1:5" x14ac:dyDescent="0.2">
      <c r="A6">
        <v>2</v>
      </c>
      <c r="B6" t="s">
        <v>26</v>
      </c>
      <c r="C6" t="s">
        <v>27</v>
      </c>
      <c r="D6" t="s">
        <v>28</v>
      </c>
    </row>
    <row r="7" spans="1:5" x14ac:dyDescent="0.2">
      <c r="A7">
        <v>3</v>
      </c>
      <c r="B7" t="s">
        <v>29</v>
      </c>
      <c r="C7" t="s">
        <v>30</v>
      </c>
      <c r="D7" t="s">
        <v>31</v>
      </c>
    </row>
    <row r="8" spans="1:5" x14ac:dyDescent="0.2">
      <c r="A8">
        <v>4</v>
      </c>
      <c r="B8" t="s">
        <v>32</v>
      </c>
      <c r="C8" t="s">
        <v>33</v>
      </c>
      <c r="D8" t="s">
        <v>34</v>
      </c>
    </row>
    <row r="9" spans="1:5" x14ac:dyDescent="0.2">
      <c r="A9">
        <v>5</v>
      </c>
      <c r="B9" t="s">
        <v>35</v>
      </c>
      <c r="C9" t="s">
        <v>36</v>
      </c>
      <c r="D9" t="s">
        <v>37</v>
      </c>
    </row>
    <row r="10" spans="1:5" x14ac:dyDescent="0.2">
      <c r="A10">
        <v>6</v>
      </c>
      <c r="B10" t="s">
        <v>38</v>
      </c>
      <c r="C10" t="s">
        <v>39</v>
      </c>
      <c r="D10" t="s">
        <v>40</v>
      </c>
    </row>
    <row r="11" spans="1:5" x14ac:dyDescent="0.2">
      <c r="A11">
        <v>7</v>
      </c>
      <c r="B11" t="s">
        <v>41</v>
      </c>
      <c r="C11" t="s">
        <v>42</v>
      </c>
      <c r="D11" t="s">
        <v>43</v>
      </c>
    </row>
    <row r="12" spans="1:5" x14ac:dyDescent="0.2">
      <c r="A12">
        <v>8</v>
      </c>
      <c r="B12" t="s">
        <v>44</v>
      </c>
      <c r="C12" t="s">
        <v>45</v>
      </c>
      <c r="D12" t="s">
        <v>46</v>
      </c>
    </row>
    <row r="13" spans="1:5" x14ac:dyDescent="0.2">
      <c r="A13">
        <v>9</v>
      </c>
      <c r="B13" t="s">
        <v>47</v>
      </c>
      <c r="C13" t="s">
        <v>48</v>
      </c>
      <c r="D13" t="s">
        <v>49</v>
      </c>
    </row>
    <row r="14" spans="1:5" x14ac:dyDescent="0.2">
      <c r="A14">
        <v>10</v>
      </c>
      <c r="B14" t="s">
        <v>50</v>
      </c>
      <c r="C14" t="s">
        <v>51</v>
      </c>
      <c r="D14" t="s">
        <v>52</v>
      </c>
    </row>
    <row r="15" spans="1:5" x14ac:dyDescent="0.2">
      <c r="A15">
        <v>11</v>
      </c>
      <c r="B15" t="s">
        <v>53</v>
      </c>
      <c r="C15" t="s">
        <v>54</v>
      </c>
      <c r="D15" t="s">
        <v>55</v>
      </c>
    </row>
    <row r="16" spans="1:5" x14ac:dyDescent="0.2">
      <c r="A16">
        <v>12</v>
      </c>
      <c r="B16" t="s">
        <v>56</v>
      </c>
      <c r="C16" t="s">
        <v>57</v>
      </c>
      <c r="D16" t="s">
        <v>58</v>
      </c>
    </row>
    <row r="17" spans="1:4" x14ac:dyDescent="0.2">
      <c r="A17">
        <v>13</v>
      </c>
      <c r="B17" t="s">
        <v>59</v>
      </c>
      <c r="C17" t="s">
        <v>60</v>
      </c>
      <c r="D17" t="s">
        <v>61</v>
      </c>
    </row>
    <row r="18" spans="1:4" x14ac:dyDescent="0.2">
      <c r="A18">
        <v>14</v>
      </c>
      <c r="B18" t="s">
        <v>62</v>
      </c>
      <c r="C18" t="s">
        <v>63</v>
      </c>
      <c r="D18" t="s">
        <v>64</v>
      </c>
    </row>
    <row r="19" spans="1:4" x14ac:dyDescent="0.2">
      <c r="A19">
        <v>15</v>
      </c>
      <c r="B19" t="s">
        <v>29</v>
      </c>
      <c r="C19" t="s">
        <v>65</v>
      </c>
      <c r="D19" t="s">
        <v>66</v>
      </c>
    </row>
    <row r="20" spans="1:4" x14ac:dyDescent="0.2">
      <c r="A20">
        <v>16</v>
      </c>
      <c r="B20" t="s">
        <v>67</v>
      </c>
      <c r="C20" t="s">
        <v>68</v>
      </c>
      <c r="D20" t="s">
        <v>69</v>
      </c>
    </row>
    <row r="21" spans="1:4" x14ac:dyDescent="0.2">
      <c r="A21">
        <v>17</v>
      </c>
      <c r="B21" t="s">
        <v>70</v>
      </c>
      <c r="C21" t="s">
        <v>71</v>
      </c>
      <c r="D21" t="s">
        <v>72</v>
      </c>
    </row>
    <row r="22" spans="1:4" x14ac:dyDescent="0.2">
      <c r="A22">
        <v>18</v>
      </c>
      <c r="B22" t="s">
        <v>73</v>
      </c>
      <c r="C22" t="s">
        <v>74</v>
      </c>
      <c r="D22" t="s">
        <v>75</v>
      </c>
    </row>
    <row r="23" spans="1:4" x14ac:dyDescent="0.2">
      <c r="A23">
        <v>19</v>
      </c>
      <c r="B23" t="s">
        <v>23</v>
      </c>
      <c r="C23" t="s">
        <v>76</v>
      </c>
      <c r="D23" t="s">
        <v>77</v>
      </c>
    </row>
    <row r="26" spans="1:4" x14ac:dyDescent="0.2">
      <c r="B26" t="s">
        <v>23</v>
      </c>
      <c r="C26" t="s">
        <v>24</v>
      </c>
    </row>
    <row r="27" spans="1:4" x14ac:dyDescent="0.2">
      <c r="B27" t="s">
        <v>32</v>
      </c>
      <c r="C27" t="s">
        <v>33</v>
      </c>
    </row>
    <row r="28" spans="1:4" x14ac:dyDescent="0.2">
      <c r="B28" t="s">
        <v>38</v>
      </c>
      <c r="C28" t="s">
        <v>39</v>
      </c>
    </row>
    <row r="29" spans="1:4" x14ac:dyDescent="0.2">
      <c r="B29" t="s">
        <v>47</v>
      </c>
      <c r="C29" t="s">
        <v>48</v>
      </c>
    </row>
    <row r="30" spans="1:4" x14ac:dyDescent="0.2">
      <c r="B30" t="s">
        <v>50</v>
      </c>
      <c r="C30" t="s">
        <v>51</v>
      </c>
    </row>
    <row r="31" spans="1:4" x14ac:dyDescent="0.2">
      <c r="B31" t="s">
        <v>56</v>
      </c>
      <c r="C31" t="s">
        <v>57</v>
      </c>
    </row>
    <row r="32" spans="1:4" x14ac:dyDescent="0.2">
      <c r="B32" t="s">
        <v>59</v>
      </c>
      <c r="C32" t="s">
        <v>60</v>
      </c>
    </row>
    <row r="33" spans="2:3" x14ac:dyDescent="0.2">
      <c r="B33" t="s">
        <v>62</v>
      </c>
      <c r="C33" t="s">
        <v>63</v>
      </c>
    </row>
    <row r="34" spans="2:3" x14ac:dyDescent="0.2">
      <c r="B34" t="s">
        <v>29</v>
      </c>
      <c r="C3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E859-0099-8A4F-9892-6572C8559B21}">
  <dimension ref="A2:X107"/>
  <sheetViews>
    <sheetView tabSelected="1" topLeftCell="A2" workbookViewId="0">
      <selection activeCell="J30" sqref="J30"/>
    </sheetView>
  </sheetViews>
  <sheetFormatPr baseColWidth="10" defaultRowHeight="16" x14ac:dyDescent="0.2"/>
  <cols>
    <col min="3" max="3" width="20.1640625" customWidth="1"/>
    <col min="4" max="8" width="11.6640625" customWidth="1"/>
    <col min="10" max="10" width="10" customWidth="1"/>
  </cols>
  <sheetData>
    <row r="2" spans="1:18" x14ac:dyDescent="0.2">
      <c r="D2" t="s">
        <v>10</v>
      </c>
    </row>
    <row r="3" spans="1:18" x14ac:dyDescent="0.2">
      <c r="D3">
        <v>0.2</v>
      </c>
      <c r="F3">
        <v>0.2</v>
      </c>
      <c r="G3">
        <v>0.2</v>
      </c>
      <c r="H3">
        <v>0.2</v>
      </c>
      <c r="I3">
        <v>0.2</v>
      </c>
    </row>
    <row r="4" spans="1:18" x14ac:dyDescent="0.2">
      <c r="D4">
        <v>0.2</v>
      </c>
      <c r="F4">
        <v>0.2</v>
      </c>
      <c r="K4" t="s">
        <v>11</v>
      </c>
    </row>
    <row r="5" spans="1:18" x14ac:dyDescent="0.2">
      <c r="C5" t="s">
        <v>0</v>
      </c>
      <c r="D5" t="s">
        <v>2</v>
      </c>
      <c r="E5" t="s">
        <v>78</v>
      </c>
      <c r="F5" t="s">
        <v>3</v>
      </c>
      <c r="G5" t="s">
        <v>4</v>
      </c>
      <c r="H5" t="s">
        <v>5</v>
      </c>
      <c r="I5" t="s">
        <v>6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9</v>
      </c>
      <c r="Q5" t="s">
        <v>13</v>
      </c>
      <c r="R5" t="s">
        <v>18</v>
      </c>
    </row>
    <row r="6" spans="1:18" x14ac:dyDescent="0.2">
      <c r="A6">
        <v>1</v>
      </c>
      <c r="B6" t="s">
        <v>26</v>
      </c>
      <c r="C6" t="s">
        <v>27</v>
      </c>
      <c r="D6">
        <v>74</v>
      </c>
      <c r="E6">
        <v>3</v>
      </c>
      <c r="F6">
        <v>58</v>
      </c>
      <c r="K6">
        <f>(D6+E6+D$30+D$31)*D$3</f>
        <v>16</v>
      </c>
      <c r="L6">
        <f>(F6+F$30+F$31)*F$3</f>
        <v>11.600000000000001</v>
      </c>
      <c r="M6">
        <f t="shared" ref="M6:M12" si="0">(G6+G$30)*G$3</f>
        <v>0</v>
      </c>
      <c r="N6">
        <f t="shared" ref="N6:N12" si="1">(H6+H$30+$H$31)*H$3</f>
        <v>0</v>
      </c>
      <c r="O6">
        <f t="shared" ref="O6:O12" si="2">(I6+I$30)*I$3</f>
        <v>0</v>
      </c>
      <c r="P6" s="3">
        <f>SUM(K6:O6)</f>
        <v>27.6</v>
      </c>
      <c r="Q6" s="3">
        <f>100*P6/(100*SUM($D$4:$I$4))</f>
        <v>69</v>
      </c>
    </row>
    <row r="7" spans="1:18" x14ac:dyDescent="0.2">
      <c r="A7">
        <v>2</v>
      </c>
      <c r="B7" t="s">
        <v>29</v>
      </c>
      <c r="C7" t="s">
        <v>30</v>
      </c>
      <c r="D7">
        <v>88</v>
      </c>
      <c r="E7">
        <v>3</v>
      </c>
      <c r="F7">
        <v>79</v>
      </c>
      <c r="K7">
        <f>(D7+E7+D$30+D$31)*D$3</f>
        <v>18.8</v>
      </c>
      <c r="L7">
        <f t="shared" ref="L7:L12" si="3">(F7+F$30+F$31)*F$3</f>
        <v>15.8</v>
      </c>
      <c r="M7">
        <f t="shared" si="0"/>
        <v>0</v>
      </c>
      <c r="N7">
        <f t="shared" si="1"/>
        <v>0</v>
      </c>
      <c r="O7">
        <f t="shared" si="2"/>
        <v>0</v>
      </c>
      <c r="P7" s="3">
        <f t="shared" ref="P7:P12" si="4">SUM(K7:O7)</f>
        <v>34.6</v>
      </c>
      <c r="Q7" s="3">
        <f t="shared" ref="Q7:Q15" si="5">100*P7/(100*SUM($D$4:$I$4))</f>
        <v>86.5</v>
      </c>
    </row>
    <row r="8" spans="1:18" x14ac:dyDescent="0.2">
      <c r="A8">
        <v>3</v>
      </c>
      <c r="B8" t="s">
        <v>35</v>
      </c>
      <c r="C8" t="s">
        <v>36</v>
      </c>
      <c r="D8">
        <v>97</v>
      </c>
      <c r="E8">
        <v>3</v>
      </c>
      <c r="F8">
        <v>94</v>
      </c>
      <c r="K8">
        <f t="shared" ref="K8:K26" si="6">(D8+E8+D$30+D$31)*D$3</f>
        <v>20.6</v>
      </c>
      <c r="L8">
        <f t="shared" si="3"/>
        <v>18.8</v>
      </c>
      <c r="M8">
        <f t="shared" si="0"/>
        <v>0</v>
      </c>
      <c r="N8">
        <f t="shared" si="1"/>
        <v>0</v>
      </c>
      <c r="O8">
        <f t="shared" si="2"/>
        <v>0</v>
      </c>
      <c r="P8" s="3">
        <f t="shared" ref="P8" si="7">SUM(K8:O8)</f>
        <v>39.400000000000006</v>
      </c>
      <c r="Q8" s="3">
        <f t="shared" si="5"/>
        <v>98.500000000000014</v>
      </c>
    </row>
    <row r="9" spans="1:18" x14ac:dyDescent="0.2">
      <c r="A9">
        <v>4</v>
      </c>
      <c r="B9" t="s">
        <v>41</v>
      </c>
      <c r="C9" t="s">
        <v>42</v>
      </c>
      <c r="D9">
        <v>67</v>
      </c>
      <c r="E9">
        <v>3</v>
      </c>
      <c r="F9">
        <v>83</v>
      </c>
      <c r="K9">
        <f t="shared" si="6"/>
        <v>14.600000000000001</v>
      </c>
      <c r="L9">
        <f t="shared" si="3"/>
        <v>16.600000000000001</v>
      </c>
      <c r="M9">
        <f t="shared" si="0"/>
        <v>0</v>
      </c>
      <c r="N9">
        <f t="shared" si="1"/>
        <v>0</v>
      </c>
      <c r="O9">
        <f t="shared" si="2"/>
        <v>0</v>
      </c>
      <c r="P9" s="3">
        <f t="shared" si="4"/>
        <v>31.200000000000003</v>
      </c>
      <c r="Q9" s="3">
        <f t="shared" si="5"/>
        <v>78.000000000000014</v>
      </c>
    </row>
    <row r="10" spans="1:18" x14ac:dyDescent="0.2">
      <c r="A10">
        <v>5</v>
      </c>
      <c r="B10" t="s">
        <v>44</v>
      </c>
      <c r="C10" t="s">
        <v>45</v>
      </c>
      <c r="D10">
        <v>81</v>
      </c>
      <c r="E10">
        <v>3</v>
      </c>
      <c r="F10">
        <v>98</v>
      </c>
      <c r="K10">
        <f t="shared" si="6"/>
        <v>17.400000000000002</v>
      </c>
      <c r="L10">
        <f t="shared" si="3"/>
        <v>19.600000000000001</v>
      </c>
      <c r="M10">
        <f t="shared" si="0"/>
        <v>0</v>
      </c>
      <c r="N10">
        <f t="shared" si="1"/>
        <v>0</v>
      </c>
      <c r="O10">
        <f t="shared" si="2"/>
        <v>0</v>
      </c>
      <c r="P10" s="3">
        <f t="shared" si="4"/>
        <v>37</v>
      </c>
      <c r="Q10" s="3">
        <f t="shared" si="5"/>
        <v>92.5</v>
      </c>
    </row>
    <row r="11" spans="1:18" x14ac:dyDescent="0.2">
      <c r="A11">
        <v>6</v>
      </c>
      <c r="B11" t="s">
        <v>53</v>
      </c>
      <c r="C11" t="s">
        <v>54</v>
      </c>
      <c r="D11">
        <v>100</v>
      </c>
      <c r="E11">
        <v>3</v>
      </c>
      <c r="F11">
        <v>99</v>
      </c>
      <c r="K11">
        <f t="shared" si="6"/>
        <v>21.200000000000003</v>
      </c>
      <c r="L11">
        <f t="shared" si="3"/>
        <v>19.8</v>
      </c>
      <c r="M11">
        <f t="shared" si="0"/>
        <v>0</v>
      </c>
      <c r="N11">
        <f t="shared" si="1"/>
        <v>0</v>
      </c>
      <c r="O11">
        <f t="shared" si="2"/>
        <v>0</v>
      </c>
      <c r="P11" s="3">
        <f t="shared" si="4"/>
        <v>41</v>
      </c>
      <c r="Q11" s="3">
        <f t="shared" si="5"/>
        <v>102.5</v>
      </c>
    </row>
    <row r="12" spans="1:18" x14ac:dyDescent="0.2">
      <c r="A12">
        <v>7</v>
      </c>
      <c r="B12" t="s">
        <v>67</v>
      </c>
      <c r="C12" t="s">
        <v>68</v>
      </c>
      <c r="D12">
        <v>83</v>
      </c>
      <c r="E12">
        <v>3</v>
      </c>
      <c r="F12">
        <v>88</v>
      </c>
      <c r="K12">
        <f t="shared" si="6"/>
        <v>17.8</v>
      </c>
      <c r="L12">
        <f t="shared" si="3"/>
        <v>17.600000000000001</v>
      </c>
      <c r="M12">
        <f t="shared" si="0"/>
        <v>0</v>
      </c>
      <c r="N12">
        <f t="shared" si="1"/>
        <v>0</v>
      </c>
      <c r="O12">
        <f t="shared" si="2"/>
        <v>0</v>
      </c>
      <c r="P12" s="3">
        <f t="shared" si="4"/>
        <v>35.400000000000006</v>
      </c>
      <c r="Q12" s="3">
        <f t="shared" si="5"/>
        <v>88.500000000000014</v>
      </c>
    </row>
    <row r="13" spans="1:18" x14ac:dyDescent="0.2">
      <c r="A13">
        <v>8</v>
      </c>
      <c r="B13" t="s">
        <v>70</v>
      </c>
      <c r="C13" t="s">
        <v>71</v>
      </c>
      <c r="D13">
        <v>92</v>
      </c>
      <c r="E13">
        <v>3</v>
      </c>
      <c r="F13">
        <v>98</v>
      </c>
      <c r="K13">
        <f t="shared" si="6"/>
        <v>19.600000000000001</v>
      </c>
      <c r="L13">
        <f t="shared" ref="L13:L15" si="8">(F13+F$30+F$31)*F$3</f>
        <v>19.600000000000001</v>
      </c>
      <c r="M13">
        <f t="shared" ref="M13:M15" si="9">(G13+G$30)*G$3</f>
        <v>0</v>
      </c>
      <c r="N13">
        <f t="shared" ref="N13:N15" si="10">(H13+H$30+$H$31)*H$3</f>
        <v>0</v>
      </c>
      <c r="O13">
        <f t="shared" ref="O13:O15" si="11">(I13+I$30)*I$3</f>
        <v>0</v>
      </c>
      <c r="P13" s="3">
        <f t="shared" ref="P13:P15" si="12">SUM(K13:O13)</f>
        <v>39.200000000000003</v>
      </c>
      <c r="Q13" s="3">
        <f t="shared" si="5"/>
        <v>98.000000000000014</v>
      </c>
    </row>
    <row r="14" spans="1:18" x14ac:dyDescent="0.2">
      <c r="A14">
        <v>9</v>
      </c>
      <c r="B14" t="s">
        <v>73</v>
      </c>
      <c r="C14" t="s">
        <v>74</v>
      </c>
      <c r="D14">
        <v>89</v>
      </c>
      <c r="E14">
        <v>3</v>
      </c>
      <c r="K14">
        <f t="shared" si="6"/>
        <v>19</v>
      </c>
      <c r="L14">
        <f t="shared" si="8"/>
        <v>0</v>
      </c>
      <c r="M14">
        <f t="shared" si="9"/>
        <v>0</v>
      </c>
      <c r="N14">
        <f t="shared" si="10"/>
        <v>0</v>
      </c>
      <c r="O14">
        <f t="shared" si="11"/>
        <v>0</v>
      </c>
      <c r="P14" s="3">
        <f t="shared" si="12"/>
        <v>19</v>
      </c>
      <c r="Q14" s="3">
        <f t="shared" si="5"/>
        <v>47.5</v>
      </c>
    </row>
    <row r="15" spans="1:18" x14ac:dyDescent="0.2">
      <c r="A15">
        <v>10</v>
      </c>
      <c r="B15" t="s">
        <v>23</v>
      </c>
      <c r="C15" t="s">
        <v>76</v>
      </c>
      <c r="D15">
        <v>86</v>
      </c>
      <c r="E15">
        <v>3</v>
      </c>
      <c r="F15">
        <v>96</v>
      </c>
      <c r="K15">
        <f t="shared" si="6"/>
        <v>18.400000000000002</v>
      </c>
      <c r="L15">
        <f t="shared" si="8"/>
        <v>19.200000000000003</v>
      </c>
      <c r="M15">
        <f t="shared" si="9"/>
        <v>0</v>
      </c>
      <c r="N15">
        <f t="shared" si="10"/>
        <v>0</v>
      </c>
      <c r="O15">
        <f t="shared" si="11"/>
        <v>0</v>
      </c>
      <c r="P15" s="3">
        <f t="shared" si="12"/>
        <v>37.600000000000009</v>
      </c>
      <c r="Q15" s="3">
        <f t="shared" si="5"/>
        <v>94.000000000000028</v>
      </c>
    </row>
    <row r="16" spans="1:18" x14ac:dyDescent="0.2">
      <c r="P16" s="3"/>
      <c r="Q16" s="2"/>
    </row>
    <row r="17" spans="1:17" x14ac:dyDescent="0.2">
      <c r="B17" t="s">
        <v>1</v>
      </c>
      <c r="P17" s="3"/>
      <c r="Q17" s="2"/>
    </row>
    <row r="18" spans="1:17" x14ac:dyDescent="0.2">
      <c r="A18">
        <v>11</v>
      </c>
      <c r="B18" t="s">
        <v>23</v>
      </c>
      <c r="C18" t="s">
        <v>24</v>
      </c>
      <c r="D18">
        <v>94</v>
      </c>
      <c r="E18">
        <v>3</v>
      </c>
      <c r="K18">
        <f t="shared" si="6"/>
        <v>20</v>
      </c>
      <c r="L18">
        <f t="shared" ref="L18" si="13">(F18+F$30+F$31)*F$3</f>
        <v>0</v>
      </c>
      <c r="M18">
        <f t="shared" ref="M18" si="14">(G18+G$30)*G$3</f>
        <v>0</v>
      </c>
      <c r="N18">
        <f t="shared" ref="N18" si="15">(H18+H$30+$H$31)*H$3</f>
        <v>0</v>
      </c>
      <c r="O18">
        <f t="shared" ref="O18" si="16">(I18+I$30)*I$3</f>
        <v>0</v>
      </c>
      <c r="P18" s="3">
        <f t="shared" ref="P18" si="17">SUM(K18:O18)</f>
        <v>20</v>
      </c>
      <c r="Q18" s="3">
        <f t="shared" ref="Q18" si="18">100*P18/(100*SUM($D$4:$I$4))</f>
        <v>50</v>
      </c>
    </row>
    <row r="19" spans="1:17" x14ac:dyDescent="0.2">
      <c r="A19">
        <v>12</v>
      </c>
      <c r="B19" t="s">
        <v>32</v>
      </c>
      <c r="C19" t="s">
        <v>33</v>
      </c>
      <c r="D19">
        <v>99</v>
      </c>
      <c r="E19">
        <v>3</v>
      </c>
      <c r="K19">
        <f t="shared" si="6"/>
        <v>21</v>
      </c>
      <c r="L19">
        <f t="shared" ref="L19:L26" si="19">(F19+F$30+F$31)*F$3</f>
        <v>0</v>
      </c>
      <c r="M19">
        <f t="shared" ref="M19:M26" si="20">(G19+G$30)*G$3</f>
        <v>0</v>
      </c>
      <c r="N19">
        <f t="shared" ref="N19:N26" si="21">(H19+H$30+$H$31)*H$3</f>
        <v>0</v>
      </c>
      <c r="O19">
        <f t="shared" ref="O19:O26" si="22">(I19+I$30)*I$3</f>
        <v>0</v>
      </c>
      <c r="P19" s="3">
        <f t="shared" ref="P19:P26" si="23">SUM(K19:O19)</f>
        <v>21</v>
      </c>
      <c r="Q19" s="3">
        <f t="shared" ref="Q19:Q26" si="24">100*P19/(100*SUM($D$4:$I$4))</f>
        <v>52.5</v>
      </c>
    </row>
    <row r="20" spans="1:17" x14ac:dyDescent="0.2">
      <c r="A20">
        <v>13</v>
      </c>
      <c r="B20" t="s">
        <v>38</v>
      </c>
      <c r="C20" t="s">
        <v>39</v>
      </c>
      <c r="D20">
        <v>76</v>
      </c>
      <c r="E20">
        <v>3</v>
      </c>
      <c r="K20">
        <f t="shared" si="6"/>
        <v>16.400000000000002</v>
      </c>
      <c r="L20">
        <f t="shared" si="19"/>
        <v>0</v>
      </c>
      <c r="M20">
        <f t="shared" si="20"/>
        <v>0</v>
      </c>
      <c r="N20">
        <f t="shared" si="21"/>
        <v>0</v>
      </c>
      <c r="O20">
        <f t="shared" si="22"/>
        <v>0</v>
      </c>
      <c r="P20" s="3">
        <f t="shared" si="23"/>
        <v>16.400000000000002</v>
      </c>
      <c r="Q20" s="3">
        <f t="shared" si="24"/>
        <v>41.000000000000007</v>
      </c>
    </row>
    <row r="21" spans="1:17" x14ac:dyDescent="0.2">
      <c r="A21">
        <v>14</v>
      </c>
      <c r="B21" t="s">
        <v>47</v>
      </c>
      <c r="C21" t="s">
        <v>48</v>
      </c>
      <c r="D21">
        <v>91</v>
      </c>
      <c r="E21">
        <v>3</v>
      </c>
      <c r="F21">
        <v>95</v>
      </c>
      <c r="K21">
        <f t="shared" si="6"/>
        <v>19.400000000000002</v>
      </c>
      <c r="L21">
        <f t="shared" si="19"/>
        <v>19</v>
      </c>
      <c r="M21">
        <f t="shared" si="20"/>
        <v>0</v>
      </c>
      <c r="N21">
        <f t="shared" si="21"/>
        <v>0</v>
      </c>
      <c r="O21">
        <f t="shared" si="22"/>
        <v>0</v>
      </c>
      <c r="P21" s="3">
        <f t="shared" si="23"/>
        <v>38.400000000000006</v>
      </c>
      <c r="Q21" s="3">
        <f t="shared" si="24"/>
        <v>96.000000000000014</v>
      </c>
    </row>
    <row r="22" spans="1:17" x14ac:dyDescent="0.2">
      <c r="A22">
        <v>15</v>
      </c>
      <c r="B22" t="s">
        <v>50</v>
      </c>
      <c r="C22" t="s">
        <v>51</v>
      </c>
      <c r="D22">
        <v>96</v>
      </c>
      <c r="E22">
        <v>3</v>
      </c>
      <c r="K22">
        <f t="shared" si="6"/>
        <v>20.400000000000002</v>
      </c>
      <c r="L22">
        <f t="shared" si="19"/>
        <v>0</v>
      </c>
      <c r="M22">
        <f t="shared" si="20"/>
        <v>0</v>
      </c>
      <c r="N22">
        <f t="shared" si="21"/>
        <v>0</v>
      </c>
      <c r="O22">
        <f t="shared" si="22"/>
        <v>0</v>
      </c>
      <c r="P22" s="3">
        <f t="shared" si="23"/>
        <v>20.400000000000002</v>
      </c>
      <c r="Q22" s="3">
        <f t="shared" si="24"/>
        <v>51.000000000000007</v>
      </c>
    </row>
    <row r="23" spans="1:17" x14ac:dyDescent="0.2">
      <c r="A23">
        <v>16</v>
      </c>
      <c r="B23" t="s">
        <v>56</v>
      </c>
      <c r="C23" t="s">
        <v>57</v>
      </c>
      <c r="D23">
        <v>96</v>
      </c>
      <c r="E23">
        <v>3</v>
      </c>
      <c r="K23">
        <f t="shared" si="6"/>
        <v>20.400000000000002</v>
      </c>
      <c r="L23">
        <f t="shared" si="19"/>
        <v>0</v>
      </c>
      <c r="M23">
        <f t="shared" si="20"/>
        <v>0</v>
      </c>
      <c r="N23">
        <f t="shared" si="21"/>
        <v>0</v>
      </c>
      <c r="O23">
        <f t="shared" si="22"/>
        <v>0</v>
      </c>
      <c r="P23" s="3">
        <f t="shared" si="23"/>
        <v>20.400000000000002</v>
      </c>
      <c r="Q23" s="3">
        <f t="shared" si="24"/>
        <v>51.000000000000007</v>
      </c>
    </row>
    <row r="24" spans="1:17" x14ac:dyDescent="0.2">
      <c r="A24">
        <v>17</v>
      </c>
      <c r="B24" t="s">
        <v>59</v>
      </c>
      <c r="C24" t="s">
        <v>60</v>
      </c>
      <c r="D24">
        <v>99</v>
      </c>
      <c r="E24">
        <v>3</v>
      </c>
      <c r="K24">
        <f t="shared" si="6"/>
        <v>21</v>
      </c>
      <c r="L24">
        <f t="shared" si="19"/>
        <v>0</v>
      </c>
      <c r="M24">
        <f t="shared" si="20"/>
        <v>0</v>
      </c>
      <c r="N24">
        <f t="shared" si="21"/>
        <v>0</v>
      </c>
      <c r="O24">
        <f t="shared" si="22"/>
        <v>0</v>
      </c>
      <c r="P24" s="3">
        <f t="shared" si="23"/>
        <v>21</v>
      </c>
      <c r="Q24" s="3">
        <f t="shared" si="24"/>
        <v>52.5</v>
      </c>
    </row>
    <row r="25" spans="1:17" x14ac:dyDescent="0.2">
      <c r="A25">
        <v>18</v>
      </c>
      <c r="B25" t="s">
        <v>62</v>
      </c>
      <c r="C25" t="s">
        <v>63</v>
      </c>
      <c r="D25">
        <v>93</v>
      </c>
      <c r="E25">
        <v>3</v>
      </c>
      <c r="F25">
        <v>99</v>
      </c>
      <c r="K25">
        <f t="shared" si="6"/>
        <v>19.8</v>
      </c>
      <c r="L25">
        <f t="shared" si="19"/>
        <v>19.8</v>
      </c>
      <c r="M25">
        <f t="shared" si="20"/>
        <v>0</v>
      </c>
      <c r="N25">
        <f t="shared" si="21"/>
        <v>0</v>
      </c>
      <c r="O25">
        <f t="shared" si="22"/>
        <v>0</v>
      </c>
      <c r="P25" s="3">
        <f t="shared" si="23"/>
        <v>39.6</v>
      </c>
      <c r="Q25" s="3">
        <f t="shared" si="24"/>
        <v>99</v>
      </c>
    </row>
    <row r="26" spans="1:17" x14ac:dyDescent="0.2">
      <c r="A26">
        <v>19</v>
      </c>
      <c r="B26" t="s">
        <v>29</v>
      </c>
      <c r="C26" t="s">
        <v>65</v>
      </c>
      <c r="D26">
        <v>93</v>
      </c>
      <c r="E26">
        <v>3</v>
      </c>
      <c r="K26">
        <f t="shared" si="6"/>
        <v>19.8</v>
      </c>
      <c r="L26">
        <f t="shared" si="19"/>
        <v>0</v>
      </c>
      <c r="M26">
        <f t="shared" si="20"/>
        <v>0</v>
      </c>
      <c r="N26">
        <f t="shared" si="21"/>
        <v>0</v>
      </c>
      <c r="O26">
        <f t="shared" si="22"/>
        <v>0</v>
      </c>
      <c r="P26" s="3">
        <f t="shared" si="23"/>
        <v>19.8</v>
      </c>
      <c r="Q26" s="3">
        <f t="shared" si="24"/>
        <v>49.5</v>
      </c>
    </row>
    <row r="28" spans="1:17" x14ac:dyDescent="0.2">
      <c r="C28" t="s">
        <v>7</v>
      </c>
      <c r="D28" s="1">
        <f>AVERAGE(D6:D26)</f>
        <v>89.15789473684211</v>
      </c>
      <c r="E28" s="1"/>
      <c r="F28" s="1">
        <f>AVERAGE(F6:F16)</f>
        <v>88.111111111111114</v>
      </c>
      <c r="G28" s="1" t="e">
        <f>AVERAGE(G6:G16)</f>
        <v>#DIV/0!</v>
      </c>
      <c r="H28" s="1" t="e">
        <f>AVERAGE(H6:H16)</f>
        <v>#DIV/0!</v>
      </c>
      <c r="I28" s="1" t="e">
        <f>AVERAGE(I6:I16)</f>
        <v>#DIV/0!</v>
      </c>
      <c r="P28" t="s">
        <v>15</v>
      </c>
      <c r="Q28" s="2">
        <f>AVERAGE(Q6:Q16)</f>
        <v>85.5</v>
      </c>
    </row>
    <row r="29" spans="1:17" x14ac:dyDescent="0.2">
      <c r="C29" t="s">
        <v>14</v>
      </c>
      <c r="D29" s="1">
        <f>STDEV(D6:D26)</f>
        <v>9.2512050740234386</v>
      </c>
      <c r="E29" s="1"/>
      <c r="F29" s="1">
        <f>STDEV(F6:F16)</f>
        <v>13.355190418377093</v>
      </c>
      <c r="G29" s="1" t="e">
        <f>STDEV(G6:G16)</f>
        <v>#DIV/0!</v>
      </c>
      <c r="H29" s="1" t="e">
        <f>STDEV(H6:H16)</f>
        <v>#DIV/0!</v>
      </c>
      <c r="I29" s="1" t="e">
        <f>STDEV(I6:I16)</f>
        <v>#DIV/0!</v>
      </c>
      <c r="P29" t="s">
        <v>16</v>
      </c>
      <c r="Q29" s="2">
        <f>STDEV(Q6:Q16)</f>
        <v>16.726559053725886</v>
      </c>
    </row>
    <row r="30" spans="1:17" x14ac:dyDescent="0.2">
      <c r="C30" t="s">
        <v>8</v>
      </c>
      <c r="D30">
        <v>3</v>
      </c>
    </row>
    <row r="31" spans="1:17" x14ac:dyDescent="0.2">
      <c r="C31" t="s">
        <v>17</v>
      </c>
    </row>
    <row r="32" spans="1:17" x14ac:dyDescent="0.2">
      <c r="C32" t="s">
        <v>9</v>
      </c>
      <c r="D32" s="1">
        <f>D28+D30+D31</f>
        <v>92.15789473684211</v>
      </c>
      <c r="E32" s="1"/>
      <c r="F32" s="1">
        <f t="shared" ref="F32:G32" si="25">F28+F30+F31</f>
        <v>88.111111111111114</v>
      </c>
      <c r="G32" s="1" t="e">
        <f t="shared" si="25"/>
        <v>#DIV/0!</v>
      </c>
      <c r="H32" s="1" t="e">
        <f>H28+H30+H31</f>
        <v>#DIV/0!</v>
      </c>
      <c r="I32" s="1" t="e">
        <f>I28+I30</f>
        <v>#DIV/0!</v>
      </c>
    </row>
    <row r="36" spans="3:24" x14ac:dyDescent="0.2">
      <c r="C36" t="s">
        <v>2</v>
      </c>
      <c r="D36" t="s">
        <v>10</v>
      </c>
      <c r="E36" t="s">
        <v>27</v>
      </c>
      <c r="F36" t="s">
        <v>30</v>
      </c>
      <c r="G36" t="s">
        <v>36</v>
      </c>
      <c r="H36" t="s">
        <v>42</v>
      </c>
      <c r="I36" t="s">
        <v>45</v>
      </c>
      <c r="J36" t="s">
        <v>54</v>
      </c>
      <c r="K36" t="s">
        <v>68</v>
      </c>
      <c r="L36" t="s">
        <v>71</v>
      </c>
      <c r="M36" t="s">
        <v>74</v>
      </c>
      <c r="N36" t="s">
        <v>76</v>
      </c>
      <c r="P36" t="s">
        <v>24</v>
      </c>
      <c r="Q36" t="s">
        <v>33</v>
      </c>
      <c r="R36" t="s">
        <v>39</v>
      </c>
      <c r="S36" t="s">
        <v>48</v>
      </c>
      <c r="T36" t="s">
        <v>51</v>
      </c>
      <c r="U36" t="s">
        <v>57</v>
      </c>
      <c r="V36" t="s">
        <v>60</v>
      </c>
      <c r="W36" t="s">
        <v>63</v>
      </c>
      <c r="X36" t="s">
        <v>65</v>
      </c>
    </row>
    <row r="37" spans="3:24" x14ac:dyDescent="0.2">
      <c r="C37">
        <v>1</v>
      </c>
      <c r="D37">
        <v>10</v>
      </c>
      <c r="E37">
        <v>9</v>
      </c>
      <c r="F37">
        <v>9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9</v>
      </c>
      <c r="N37">
        <v>10</v>
      </c>
      <c r="P37">
        <v>10</v>
      </c>
      <c r="Q37">
        <v>10</v>
      </c>
      <c r="R37">
        <v>9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</row>
    <row r="38" spans="3:24" x14ac:dyDescent="0.2">
      <c r="C38">
        <v>2</v>
      </c>
      <c r="D38">
        <v>12</v>
      </c>
      <c r="E38">
        <v>12</v>
      </c>
      <c r="F38">
        <v>12</v>
      </c>
      <c r="G38">
        <v>11</v>
      </c>
      <c r="H38">
        <v>9</v>
      </c>
      <c r="I38">
        <v>12</v>
      </c>
      <c r="J38">
        <v>12</v>
      </c>
      <c r="K38">
        <v>11</v>
      </c>
      <c r="L38">
        <v>12</v>
      </c>
      <c r="M38">
        <v>10</v>
      </c>
      <c r="N38">
        <v>12</v>
      </c>
      <c r="P38">
        <v>12</v>
      </c>
      <c r="Q38">
        <v>12</v>
      </c>
      <c r="R38">
        <v>9</v>
      </c>
      <c r="S38">
        <v>12</v>
      </c>
      <c r="T38">
        <v>12</v>
      </c>
      <c r="U38">
        <v>12</v>
      </c>
      <c r="V38">
        <v>12</v>
      </c>
      <c r="W38">
        <v>10</v>
      </c>
      <c r="X38">
        <v>12</v>
      </c>
    </row>
    <row r="39" spans="3:24" x14ac:dyDescent="0.2">
      <c r="C39">
        <v>3</v>
      </c>
      <c r="D39">
        <v>8</v>
      </c>
      <c r="E39">
        <v>4</v>
      </c>
      <c r="F39">
        <v>6</v>
      </c>
      <c r="G39">
        <v>7</v>
      </c>
      <c r="H39">
        <v>4</v>
      </c>
      <c r="I39">
        <v>6</v>
      </c>
      <c r="J39">
        <v>8</v>
      </c>
      <c r="K39">
        <v>4</v>
      </c>
      <c r="L39">
        <v>4</v>
      </c>
      <c r="M39">
        <v>7</v>
      </c>
      <c r="N39">
        <v>6</v>
      </c>
      <c r="P39">
        <v>8</v>
      </c>
      <c r="Q39">
        <v>8</v>
      </c>
      <c r="R39">
        <v>5</v>
      </c>
      <c r="S39">
        <v>5</v>
      </c>
      <c r="T39">
        <v>6</v>
      </c>
      <c r="U39">
        <v>5</v>
      </c>
      <c r="V39">
        <v>8</v>
      </c>
      <c r="W39">
        <v>5</v>
      </c>
      <c r="X39">
        <v>5</v>
      </c>
    </row>
    <row r="40" spans="3:24" x14ac:dyDescent="0.2">
      <c r="C40">
        <v>4</v>
      </c>
      <c r="D40">
        <v>18</v>
      </c>
      <c r="E40">
        <v>12</v>
      </c>
      <c r="F40">
        <v>18</v>
      </c>
      <c r="G40">
        <v>18</v>
      </c>
      <c r="H40">
        <v>9</v>
      </c>
      <c r="I40">
        <v>11</v>
      </c>
      <c r="J40">
        <v>18</v>
      </c>
      <c r="K40">
        <v>13</v>
      </c>
      <c r="L40">
        <v>18</v>
      </c>
      <c r="M40">
        <v>18</v>
      </c>
      <c r="N40">
        <v>15</v>
      </c>
      <c r="P40">
        <v>18</v>
      </c>
      <c r="Q40">
        <v>18</v>
      </c>
      <c r="R40">
        <v>15</v>
      </c>
      <c r="S40">
        <v>18</v>
      </c>
      <c r="T40">
        <v>18</v>
      </c>
      <c r="U40">
        <v>18</v>
      </c>
      <c r="V40">
        <v>18</v>
      </c>
      <c r="W40">
        <v>18</v>
      </c>
      <c r="X40">
        <v>18</v>
      </c>
    </row>
    <row r="41" spans="3:24" x14ac:dyDescent="0.2">
      <c r="C41">
        <v>5</v>
      </c>
      <c r="D41">
        <v>10</v>
      </c>
      <c r="E41">
        <v>4</v>
      </c>
      <c r="F41">
        <v>8</v>
      </c>
      <c r="G41">
        <v>9</v>
      </c>
      <c r="H41">
        <v>5</v>
      </c>
      <c r="I41">
        <v>6</v>
      </c>
      <c r="J41">
        <v>10</v>
      </c>
      <c r="K41">
        <v>7</v>
      </c>
      <c r="L41">
        <v>7</v>
      </c>
      <c r="M41">
        <v>7</v>
      </c>
      <c r="N41">
        <v>7</v>
      </c>
      <c r="P41">
        <v>10</v>
      </c>
      <c r="Q41">
        <v>10</v>
      </c>
      <c r="R41">
        <v>6</v>
      </c>
      <c r="S41">
        <v>8</v>
      </c>
      <c r="T41">
        <v>9</v>
      </c>
      <c r="U41">
        <v>10</v>
      </c>
      <c r="V41">
        <v>10</v>
      </c>
      <c r="W41">
        <v>9</v>
      </c>
      <c r="X41">
        <v>8</v>
      </c>
    </row>
    <row r="42" spans="3:24" x14ac:dyDescent="0.2">
      <c r="C42">
        <v>6</v>
      </c>
      <c r="D42">
        <v>18</v>
      </c>
      <c r="E42">
        <v>13</v>
      </c>
      <c r="F42">
        <v>14</v>
      </c>
      <c r="G42">
        <v>18</v>
      </c>
      <c r="H42">
        <v>10</v>
      </c>
      <c r="I42">
        <v>15</v>
      </c>
      <c r="J42">
        <v>18</v>
      </c>
      <c r="K42">
        <v>16</v>
      </c>
      <c r="L42">
        <v>17</v>
      </c>
      <c r="M42">
        <v>18</v>
      </c>
      <c r="N42">
        <v>14</v>
      </c>
      <c r="P42">
        <v>16</v>
      </c>
      <c r="Q42">
        <v>18</v>
      </c>
      <c r="R42">
        <v>12</v>
      </c>
      <c r="S42">
        <v>16</v>
      </c>
      <c r="T42">
        <v>18</v>
      </c>
      <c r="U42">
        <v>18</v>
      </c>
      <c r="V42">
        <v>18</v>
      </c>
      <c r="W42">
        <v>18</v>
      </c>
      <c r="X42">
        <v>17</v>
      </c>
    </row>
    <row r="43" spans="3:24" x14ac:dyDescent="0.2">
      <c r="C43">
        <v>7</v>
      </c>
      <c r="D43">
        <v>9</v>
      </c>
      <c r="E43">
        <v>9</v>
      </c>
      <c r="F43">
        <v>9</v>
      </c>
      <c r="G43">
        <v>9</v>
      </c>
      <c r="H43">
        <v>9</v>
      </c>
      <c r="I43">
        <v>9</v>
      </c>
      <c r="J43">
        <v>9</v>
      </c>
      <c r="K43">
        <v>9</v>
      </c>
      <c r="L43">
        <v>9</v>
      </c>
      <c r="M43">
        <v>9</v>
      </c>
      <c r="N43">
        <v>9</v>
      </c>
      <c r="P43">
        <v>9</v>
      </c>
      <c r="Q43">
        <v>9</v>
      </c>
      <c r="R43">
        <v>9</v>
      </c>
      <c r="S43">
        <v>9</v>
      </c>
      <c r="T43">
        <v>9</v>
      </c>
      <c r="U43">
        <v>9</v>
      </c>
      <c r="V43">
        <v>9</v>
      </c>
      <c r="W43">
        <v>9</v>
      </c>
      <c r="X43">
        <v>9</v>
      </c>
    </row>
    <row r="44" spans="3:24" x14ac:dyDescent="0.2">
      <c r="C44">
        <v>8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4</v>
      </c>
      <c r="W44">
        <v>5</v>
      </c>
      <c r="X44">
        <v>5</v>
      </c>
    </row>
    <row r="45" spans="3:24" x14ac:dyDescent="0.2">
      <c r="C45">
        <v>9</v>
      </c>
      <c r="D45">
        <v>10</v>
      </c>
      <c r="E45">
        <v>6</v>
      </c>
      <c r="F45">
        <v>7</v>
      </c>
      <c r="G45">
        <v>10</v>
      </c>
      <c r="H45">
        <v>6</v>
      </c>
      <c r="I45">
        <v>7</v>
      </c>
      <c r="J45">
        <v>10</v>
      </c>
      <c r="K45">
        <v>8</v>
      </c>
      <c r="L45">
        <v>10</v>
      </c>
      <c r="M45">
        <v>6</v>
      </c>
      <c r="N45">
        <v>8</v>
      </c>
      <c r="P45">
        <v>6</v>
      </c>
      <c r="Q45">
        <v>9</v>
      </c>
      <c r="R45">
        <v>6</v>
      </c>
      <c r="S45">
        <v>8</v>
      </c>
      <c r="T45">
        <v>9</v>
      </c>
      <c r="U45">
        <v>9</v>
      </c>
      <c r="V45">
        <v>10</v>
      </c>
      <c r="W45">
        <v>9</v>
      </c>
      <c r="X45">
        <v>9</v>
      </c>
    </row>
    <row r="46" spans="3:24" x14ac:dyDescent="0.2">
      <c r="C46" t="s">
        <v>12</v>
      </c>
      <c r="D46">
        <f t="shared" ref="D46:N46" si="26">SUM(D37:D45)</f>
        <v>100</v>
      </c>
      <c r="E46">
        <f t="shared" si="26"/>
        <v>74</v>
      </c>
      <c r="F46">
        <f t="shared" si="26"/>
        <v>88</v>
      </c>
      <c r="G46">
        <f t="shared" si="26"/>
        <v>97</v>
      </c>
      <c r="H46">
        <f t="shared" si="26"/>
        <v>67</v>
      </c>
      <c r="I46">
        <f t="shared" si="26"/>
        <v>81</v>
      </c>
      <c r="J46">
        <f t="shared" si="26"/>
        <v>100</v>
      </c>
      <c r="K46">
        <f t="shared" si="26"/>
        <v>83</v>
      </c>
      <c r="L46">
        <f t="shared" si="26"/>
        <v>92</v>
      </c>
      <c r="M46">
        <f t="shared" si="26"/>
        <v>89</v>
      </c>
      <c r="N46">
        <f t="shared" si="26"/>
        <v>86</v>
      </c>
      <c r="P46">
        <f t="shared" ref="P46" si="27">SUM(P37:P45)</f>
        <v>94</v>
      </c>
      <c r="Q46">
        <f t="shared" ref="Q46" si="28">SUM(Q37:Q45)</f>
        <v>99</v>
      </c>
      <c r="R46">
        <f t="shared" ref="R46" si="29">SUM(R37:R45)</f>
        <v>76</v>
      </c>
      <c r="S46">
        <f t="shared" ref="S46" si="30">SUM(S37:S45)</f>
        <v>91</v>
      </c>
      <c r="T46">
        <f t="shared" ref="T46" si="31">SUM(T37:T45)</f>
        <v>96</v>
      </c>
      <c r="U46">
        <f t="shared" ref="U46" si="32">SUM(U37:U45)</f>
        <v>96</v>
      </c>
      <c r="V46">
        <f t="shared" ref="V46" si="33">SUM(V37:V45)</f>
        <v>99</v>
      </c>
      <c r="W46">
        <f t="shared" ref="W46" si="34">SUM(W37:W45)</f>
        <v>93</v>
      </c>
      <c r="X46">
        <f t="shared" ref="X46" si="35">SUM(X37:X45)</f>
        <v>93</v>
      </c>
    </row>
    <row r="48" spans="3:24" x14ac:dyDescent="0.2">
      <c r="C48" t="s">
        <v>3</v>
      </c>
      <c r="D48" t="s">
        <v>10</v>
      </c>
      <c r="E48" t="s">
        <v>27</v>
      </c>
      <c r="F48" t="s">
        <v>30</v>
      </c>
      <c r="G48" t="s">
        <v>36</v>
      </c>
      <c r="H48" t="s">
        <v>42</v>
      </c>
      <c r="I48" t="s">
        <v>45</v>
      </c>
      <c r="J48" t="s">
        <v>54</v>
      </c>
      <c r="K48" t="s">
        <v>68</v>
      </c>
      <c r="L48" t="s">
        <v>71</v>
      </c>
      <c r="M48" t="s">
        <v>74</v>
      </c>
      <c r="N48" t="s">
        <v>76</v>
      </c>
      <c r="P48" t="s">
        <v>24</v>
      </c>
      <c r="Q48" t="s">
        <v>33</v>
      </c>
      <c r="R48" t="s">
        <v>39</v>
      </c>
      <c r="S48" t="s">
        <v>48</v>
      </c>
      <c r="T48" t="s">
        <v>51</v>
      </c>
      <c r="U48" t="s">
        <v>57</v>
      </c>
      <c r="V48" t="s">
        <v>60</v>
      </c>
      <c r="W48" t="s">
        <v>63</v>
      </c>
      <c r="X48" t="s">
        <v>65</v>
      </c>
    </row>
    <row r="49" spans="3:24" x14ac:dyDescent="0.2">
      <c r="C49">
        <v>1</v>
      </c>
      <c r="D49">
        <v>6</v>
      </c>
      <c r="E49">
        <v>6</v>
      </c>
      <c r="F49">
        <v>4</v>
      </c>
      <c r="G49">
        <v>6</v>
      </c>
      <c r="H49">
        <v>6</v>
      </c>
      <c r="I49">
        <v>5</v>
      </c>
      <c r="J49">
        <v>5</v>
      </c>
      <c r="K49">
        <v>6</v>
      </c>
      <c r="L49">
        <v>5</v>
      </c>
      <c r="N49">
        <v>6</v>
      </c>
      <c r="Q49">
        <v>6</v>
      </c>
      <c r="S49">
        <v>6</v>
      </c>
      <c r="T49">
        <v>6</v>
      </c>
      <c r="W49">
        <v>5</v>
      </c>
      <c r="X49">
        <v>6</v>
      </c>
    </row>
    <row r="50" spans="3:24" x14ac:dyDescent="0.2">
      <c r="C50">
        <v>2</v>
      </c>
      <c r="D50">
        <v>6</v>
      </c>
      <c r="E50">
        <v>5</v>
      </c>
      <c r="F50">
        <v>5</v>
      </c>
      <c r="G50">
        <v>5</v>
      </c>
      <c r="H50">
        <v>5</v>
      </c>
      <c r="I50">
        <v>6</v>
      </c>
      <c r="J50">
        <v>6</v>
      </c>
      <c r="K50">
        <v>6</v>
      </c>
      <c r="L50">
        <v>6</v>
      </c>
      <c r="N50">
        <v>5</v>
      </c>
      <c r="Q50">
        <v>6</v>
      </c>
      <c r="S50">
        <v>6</v>
      </c>
      <c r="T50">
        <v>6</v>
      </c>
      <c r="W50">
        <v>6</v>
      </c>
      <c r="X50">
        <v>6</v>
      </c>
    </row>
    <row r="51" spans="3:24" x14ac:dyDescent="0.2">
      <c r="C51">
        <v>3</v>
      </c>
      <c r="D51">
        <v>10</v>
      </c>
      <c r="E51">
        <v>6</v>
      </c>
      <c r="F51">
        <v>10</v>
      </c>
      <c r="G51">
        <v>10</v>
      </c>
      <c r="H51">
        <v>8</v>
      </c>
      <c r="I51">
        <v>10</v>
      </c>
      <c r="J51">
        <v>10</v>
      </c>
      <c r="K51">
        <v>10</v>
      </c>
      <c r="L51">
        <v>10</v>
      </c>
      <c r="N51">
        <v>9</v>
      </c>
      <c r="Q51">
        <v>9</v>
      </c>
      <c r="S51">
        <v>7</v>
      </c>
      <c r="T51">
        <v>10</v>
      </c>
      <c r="W51">
        <v>10</v>
      </c>
      <c r="X51">
        <v>10</v>
      </c>
    </row>
    <row r="52" spans="3:24" x14ac:dyDescent="0.2">
      <c r="C52">
        <v>4</v>
      </c>
      <c r="D52">
        <v>14</v>
      </c>
      <c r="E52">
        <v>5</v>
      </c>
      <c r="F52">
        <v>9</v>
      </c>
      <c r="G52">
        <v>10</v>
      </c>
      <c r="H52">
        <v>10</v>
      </c>
      <c r="I52">
        <v>14</v>
      </c>
      <c r="J52">
        <v>14</v>
      </c>
      <c r="K52">
        <v>11</v>
      </c>
      <c r="L52">
        <v>14</v>
      </c>
      <c r="N52">
        <v>12</v>
      </c>
      <c r="Q52">
        <v>13</v>
      </c>
      <c r="S52">
        <v>14</v>
      </c>
      <c r="T52">
        <v>14</v>
      </c>
      <c r="W52">
        <v>14</v>
      </c>
      <c r="X52">
        <v>12</v>
      </c>
    </row>
    <row r="53" spans="3:24" x14ac:dyDescent="0.2">
      <c r="C53">
        <v>5</v>
      </c>
      <c r="D53">
        <v>8</v>
      </c>
      <c r="E53">
        <v>7</v>
      </c>
      <c r="F53">
        <v>7</v>
      </c>
      <c r="G53">
        <v>8</v>
      </c>
      <c r="H53">
        <v>8</v>
      </c>
      <c r="I53">
        <v>8</v>
      </c>
      <c r="J53">
        <v>8</v>
      </c>
      <c r="K53">
        <v>8</v>
      </c>
      <c r="L53">
        <v>8</v>
      </c>
      <c r="N53">
        <v>8</v>
      </c>
      <c r="Q53">
        <v>8</v>
      </c>
      <c r="S53">
        <v>8</v>
      </c>
      <c r="T53">
        <v>8</v>
      </c>
      <c r="W53">
        <v>8</v>
      </c>
      <c r="X53">
        <v>8</v>
      </c>
    </row>
    <row r="54" spans="3:24" x14ac:dyDescent="0.2">
      <c r="C54">
        <v>6</v>
      </c>
      <c r="D54">
        <v>14</v>
      </c>
      <c r="E54">
        <v>7</v>
      </c>
      <c r="F54">
        <v>11</v>
      </c>
      <c r="G54">
        <v>13</v>
      </c>
      <c r="H54">
        <v>11</v>
      </c>
      <c r="I54">
        <v>13</v>
      </c>
      <c r="J54">
        <v>14</v>
      </c>
      <c r="K54">
        <v>11</v>
      </c>
      <c r="L54">
        <v>14</v>
      </c>
      <c r="N54">
        <v>14</v>
      </c>
      <c r="Q54">
        <v>14</v>
      </c>
      <c r="S54">
        <v>13</v>
      </c>
      <c r="T54">
        <v>14</v>
      </c>
      <c r="W54">
        <v>14</v>
      </c>
      <c r="X54">
        <v>14</v>
      </c>
    </row>
    <row r="55" spans="3:24" x14ac:dyDescent="0.2">
      <c r="C55">
        <v>7</v>
      </c>
      <c r="D55">
        <v>12</v>
      </c>
      <c r="E55">
        <v>5</v>
      </c>
      <c r="F55">
        <v>4</v>
      </c>
      <c r="G55">
        <v>12</v>
      </c>
      <c r="H55">
        <v>11</v>
      </c>
      <c r="I55">
        <v>12</v>
      </c>
      <c r="J55">
        <v>12</v>
      </c>
      <c r="K55">
        <v>11</v>
      </c>
      <c r="L55">
        <v>12</v>
      </c>
      <c r="N55">
        <v>12</v>
      </c>
      <c r="Q55">
        <v>12</v>
      </c>
      <c r="S55">
        <v>11</v>
      </c>
      <c r="T55">
        <v>11</v>
      </c>
      <c r="W55">
        <v>12</v>
      </c>
      <c r="X55">
        <v>12</v>
      </c>
    </row>
    <row r="56" spans="3:24" x14ac:dyDescent="0.2">
      <c r="C56">
        <v>8</v>
      </c>
      <c r="D56">
        <v>10</v>
      </c>
      <c r="E56">
        <v>5</v>
      </c>
      <c r="F56">
        <v>10</v>
      </c>
      <c r="G56">
        <v>10</v>
      </c>
      <c r="H56">
        <v>9</v>
      </c>
      <c r="I56">
        <v>10</v>
      </c>
      <c r="J56">
        <v>10</v>
      </c>
      <c r="K56">
        <v>7</v>
      </c>
      <c r="L56">
        <v>9</v>
      </c>
      <c r="N56">
        <v>10</v>
      </c>
      <c r="Q56">
        <v>7</v>
      </c>
      <c r="S56">
        <v>10</v>
      </c>
      <c r="T56">
        <v>9</v>
      </c>
      <c r="W56">
        <v>10</v>
      </c>
      <c r="X56">
        <v>9</v>
      </c>
    </row>
    <row r="57" spans="3:24" x14ac:dyDescent="0.2">
      <c r="C57">
        <v>9</v>
      </c>
      <c r="D57">
        <v>12</v>
      </c>
      <c r="E57">
        <v>7</v>
      </c>
      <c r="F57">
        <v>12</v>
      </c>
      <c r="G57">
        <v>12</v>
      </c>
      <c r="H57">
        <v>9</v>
      </c>
      <c r="I57">
        <v>12</v>
      </c>
      <c r="J57">
        <v>12</v>
      </c>
      <c r="K57">
        <v>12</v>
      </c>
      <c r="L57">
        <v>12</v>
      </c>
      <c r="N57">
        <v>12</v>
      </c>
      <c r="Q57">
        <v>11</v>
      </c>
      <c r="S57">
        <v>12</v>
      </c>
      <c r="T57">
        <v>11</v>
      </c>
      <c r="W57">
        <v>12</v>
      </c>
      <c r="X57">
        <v>12</v>
      </c>
    </row>
    <row r="58" spans="3:24" x14ac:dyDescent="0.2">
      <c r="C58">
        <v>10</v>
      </c>
      <c r="D58">
        <v>8</v>
      </c>
      <c r="E58">
        <v>5</v>
      </c>
      <c r="F58">
        <v>7</v>
      </c>
      <c r="G58">
        <v>8</v>
      </c>
      <c r="H58">
        <v>6</v>
      </c>
      <c r="I58">
        <v>8</v>
      </c>
      <c r="J58">
        <v>8</v>
      </c>
      <c r="K58">
        <v>6</v>
      </c>
      <c r="L58">
        <v>8</v>
      </c>
      <c r="N58">
        <v>8</v>
      </c>
      <c r="Q58">
        <v>6</v>
      </c>
      <c r="S58">
        <v>8</v>
      </c>
      <c r="T58">
        <v>8</v>
      </c>
      <c r="W58">
        <v>8</v>
      </c>
      <c r="X58">
        <v>7</v>
      </c>
    </row>
    <row r="59" spans="3:24" x14ac:dyDescent="0.2">
      <c r="C59" t="s">
        <v>12</v>
      </c>
      <c r="D59">
        <f>SUM(D49:D58)</f>
        <v>100</v>
      </c>
      <c r="E59">
        <f t="shared" ref="E59:P59" si="36">SUM(E49:E58)</f>
        <v>58</v>
      </c>
      <c r="F59">
        <f t="shared" si="36"/>
        <v>79</v>
      </c>
      <c r="G59">
        <f t="shared" si="36"/>
        <v>94</v>
      </c>
      <c r="H59">
        <f t="shared" si="36"/>
        <v>83</v>
      </c>
      <c r="I59">
        <f t="shared" si="36"/>
        <v>98</v>
      </c>
      <c r="J59">
        <f t="shared" si="36"/>
        <v>99</v>
      </c>
      <c r="K59">
        <f t="shared" si="36"/>
        <v>88</v>
      </c>
      <c r="L59">
        <f t="shared" si="36"/>
        <v>98</v>
      </c>
      <c r="M59">
        <f t="shared" si="36"/>
        <v>0</v>
      </c>
      <c r="N59">
        <f t="shared" si="36"/>
        <v>96</v>
      </c>
      <c r="P59">
        <f t="shared" si="36"/>
        <v>0</v>
      </c>
      <c r="Q59">
        <f t="shared" ref="Q59" si="37">SUM(Q49:Q58)</f>
        <v>92</v>
      </c>
      <c r="R59">
        <f t="shared" ref="R59" si="38">SUM(R49:R58)</f>
        <v>0</v>
      </c>
      <c r="S59">
        <f t="shared" ref="S59" si="39">SUM(S49:S58)</f>
        <v>95</v>
      </c>
      <c r="T59">
        <f t="shared" ref="T59" si="40">SUM(T49:T58)</f>
        <v>97</v>
      </c>
      <c r="U59">
        <f t="shared" ref="U59" si="41">SUM(U49:U58)</f>
        <v>0</v>
      </c>
      <c r="V59">
        <f t="shared" ref="V59" si="42">SUM(V49:V58)</f>
        <v>0</v>
      </c>
      <c r="W59">
        <f t="shared" ref="W59" si="43">SUM(W49:W58)</f>
        <v>99</v>
      </c>
      <c r="X59">
        <f t="shared" ref="X59" si="44">SUM(X49:X58)</f>
        <v>96</v>
      </c>
    </row>
    <row r="98" spans="4:6" x14ac:dyDescent="0.2">
      <c r="D98" t="s">
        <v>26</v>
      </c>
      <c r="E98" t="s">
        <v>27</v>
      </c>
      <c r="F98" t="s">
        <v>28</v>
      </c>
    </row>
    <row r="99" spans="4:6" x14ac:dyDescent="0.2">
      <c r="D99" t="s">
        <v>29</v>
      </c>
      <c r="E99" t="s">
        <v>30</v>
      </c>
      <c r="F99" t="s">
        <v>31</v>
      </c>
    </row>
    <row r="100" spans="4:6" x14ac:dyDescent="0.2">
      <c r="D100" t="s">
        <v>35</v>
      </c>
      <c r="E100" t="s">
        <v>36</v>
      </c>
      <c r="F100" t="s">
        <v>37</v>
      </c>
    </row>
    <row r="101" spans="4:6" x14ac:dyDescent="0.2">
      <c r="D101" t="s">
        <v>41</v>
      </c>
      <c r="E101" t="s">
        <v>42</v>
      </c>
      <c r="F101" t="s">
        <v>43</v>
      </c>
    </row>
    <row r="102" spans="4:6" x14ac:dyDescent="0.2">
      <c r="D102" t="s">
        <v>44</v>
      </c>
      <c r="E102" t="s">
        <v>45</v>
      </c>
      <c r="F102" t="s">
        <v>46</v>
      </c>
    </row>
    <row r="103" spans="4:6" x14ac:dyDescent="0.2">
      <c r="D103" t="s">
        <v>53</v>
      </c>
      <c r="E103" t="s">
        <v>54</v>
      </c>
      <c r="F103" t="s">
        <v>55</v>
      </c>
    </row>
    <row r="104" spans="4:6" x14ac:dyDescent="0.2">
      <c r="D104" t="s">
        <v>67</v>
      </c>
      <c r="E104" t="s">
        <v>68</v>
      </c>
      <c r="F104" t="s">
        <v>69</v>
      </c>
    </row>
    <row r="105" spans="4:6" x14ac:dyDescent="0.2">
      <c r="D105" t="s">
        <v>70</v>
      </c>
      <c r="E105" t="s">
        <v>71</v>
      </c>
      <c r="F105" t="s">
        <v>72</v>
      </c>
    </row>
    <row r="106" spans="4:6" x14ac:dyDescent="0.2">
      <c r="D106" t="s">
        <v>73</v>
      </c>
      <c r="E106" t="s">
        <v>74</v>
      </c>
      <c r="F106" t="s">
        <v>75</v>
      </c>
    </row>
    <row r="107" spans="4:6" x14ac:dyDescent="0.2">
      <c r="D107" t="s">
        <v>23</v>
      </c>
      <c r="E107" t="s">
        <v>76</v>
      </c>
      <c r="F10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W. Beeler</cp:lastModifiedBy>
  <dcterms:created xsi:type="dcterms:W3CDTF">2025-08-19T19:34:47Z</dcterms:created>
  <dcterms:modified xsi:type="dcterms:W3CDTF">2026-10-13T12:24:05Z</dcterms:modified>
</cp:coreProperties>
</file>