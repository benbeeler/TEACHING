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6/"/>
    </mc:Choice>
  </mc:AlternateContent>
  <xr:revisionPtr revIDLastSave="0" documentId="13_ncr:1_{E8A11BE3-BBE8-AA43-8360-661DE8D1C746}" xr6:coauthVersionLast="47" xr6:coauthVersionMax="47" xr10:uidLastSave="{00000000-0000-0000-0000-000000000000}"/>
  <bookViews>
    <workbookView xWindow="2200" yWindow="5480" windowWidth="24220" windowHeight="17440" activeTab="1" xr2:uid="{4E6CEA4E-2509-754B-9890-44C713F10933}"/>
  </bookViews>
  <sheets>
    <sheet name="Contacts" sheetId="2" r:id="rId1"/>
    <sheet name="Grad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J7" i="1"/>
  <c r="J8" i="1"/>
  <c r="J9" i="1"/>
  <c r="J10" i="1"/>
  <c r="O10" i="1" s="1"/>
  <c r="P10" i="1" s="1"/>
  <c r="J11" i="1"/>
  <c r="J12" i="1"/>
  <c r="J13" i="1"/>
  <c r="J14" i="1"/>
  <c r="J15" i="1"/>
  <c r="J18" i="1"/>
  <c r="J19" i="1"/>
  <c r="J20" i="1"/>
  <c r="J21" i="1"/>
  <c r="J22" i="1"/>
  <c r="J23" i="1"/>
  <c r="J24" i="1"/>
  <c r="J25" i="1"/>
  <c r="J26" i="1"/>
  <c r="J6" i="1"/>
  <c r="K7" i="1"/>
  <c r="K8" i="1"/>
  <c r="K9" i="1"/>
  <c r="K10" i="1"/>
  <c r="K11" i="1"/>
  <c r="K12" i="1"/>
  <c r="K6" i="1"/>
  <c r="O6" i="1" s="1"/>
  <c r="P6" i="1" s="1"/>
  <c r="O7" i="1"/>
  <c r="P7" i="1" s="1"/>
  <c r="O8" i="1"/>
  <c r="P8" i="1" s="1"/>
  <c r="O9" i="1"/>
  <c r="P9" i="1" s="1"/>
  <c r="C32" i="1"/>
  <c r="C28" i="1"/>
  <c r="N6" i="1"/>
  <c r="L6" i="1"/>
  <c r="L7" i="1"/>
  <c r="N7" i="1"/>
  <c r="M7" i="1"/>
  <c r="L8" i="1"/>
  <c r="N8" i="1"/>
  <c r="M8" i="1"/>
  <c r="L9" i="1"/>
  <c r="N9" i="1"/>
  <c r="M9" i="1"/>
  <c r="L10" i="1"/>
  <c r="N10" i="1"/>
  <c r="M10" i="1"/>
  <c r="L11" i="1"/>
  <c r="N11" i="1"/>
  <c r="M11" i="1"/>
  <c r="L12" i="1"/>
  <c r="N12" i="1"/>
  <c r="M12" i="1"/>
  <c r="G28" i="1"/>
  <c r="G32" i="1" s="1"/>
  <c r="G29" i="1"/>
  <c r="D91" i="1"/>
  <c r="E91" i="1"/>
  <c r="F91" i="1"/>
  <c r="G91" i="1"/>
  <c r="H91" i="1"/>
  <c r="I91" i="1"/>
  <c r="J91" i="1"/>
  <c r="K91" i="1"/>
  <c r="L91" i="1"/>
  <c r="C91" i="1"/>
  <c r="F29" i="1"/>
  <c r="F28" i="1"/>
  <c r="F32" i="1" s="1"/>
  <c r="H28" i="1"/>
  <c r="H32" i="1" s="1"/>
  <c r="H29" i="1"/>
  <c r="C75" i="1"/>
  <c r="D75" i="1"/>
  <c r="E75" i="1"/>
  <c r="F75" i="1"/>
  <c r="G75" i="1"/>
  <c r="H75" i="1"/>
  <c r="I75" i="1"/>
  <c r="J75" i="1"/>
  <c r="K75" i="1"/>
  <c r="L75" i="1"/>
  <c r="E29" i="1"/>
  <c r="C29" i="1"/>
  <c r="L60" i="1"/>
  <c r="K60" i="1"/>
  <c r="J60" i="1"/>
  <c r="I60" i="1"/>
  <c r="H60" i="1"/>
  <c r="G60" i="1"/>
  <c r="F60" i="1"/>
  <c r="E60" i="1"/>
  <c r="D60" i="1"/>
  <c r="C60" i="1"/>
  <c r="D47" i="1"/>
  <c r="E47" i="1"/>
  <c r="F47" i="1"/>
  <c r="G47" i="1"/>
  <c r="H47" i="1"/>
  <c r="I47" i="1"/>
  <c r="J47" i="1"/>
  <c r="K47" i="1"/>
  <c r="L47" i="1"/>
  <c r="C47" i="1"/>
  <c r="E28" i="1"/>
  <c r="E32" i="1" s="1"/>
  <c r="O12" i="1" l="1"/>
  <c r="P12" i="1" s="1"/>
  <c r="O11" i="1"/>
  <c r="P11" i="1" s="1"/>
  <c r="P29" i="1"/>
  <c r="P28" i="1"/>
</calcChain>
</file>

<file path=xl/sharedStrings.xml><?xml version="1.0" encoding="utf-8"?>
<sst xmlns="http://schemas.openxmlformats.org/spreadsheetml/2006/main" count="231" uniqueCount="89">
  <si>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</si>
  <si>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</si>
  <si>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</si>
  <si>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</si>
  <si>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</si>
  <si>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</si>
  <si>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</si>
  <si>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</si>
  <si>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</si>
  <si>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</si>
  <si>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</si>
  <si>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</si>
  <si>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</si>
  <si>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</si>
  <si>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</si>
  <si>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</si>
  <si>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</si>
  <si>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</si>
  <si>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</si>
  <si>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</si>
  <si>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</si>
  <si>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</si>
  <si>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</si>
  <si>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</si>
  <si>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</si>
  <si>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</si>
  <si>
    <t>survey bonus</t>
  </si>
  <si>
    <t>Survey Bonus</t>
  </si>
  <si>
    <t>Letter</t>
  </si>
  <si>
    <t>First name</t>
  </si>
  <si>
    <t>Last name</t>
  </si>
  <si>
    <t>Email address</t>
  </si>
  <si>
    <t>Groups</t>
  </si>
  <si>
    <t>Ethan</t>
  </si>
  <si>
    <t>Arnold</t>
  </si>
  <si>
    <t>earnold@ncsu.edu</t>
  </si>
  <si>
    <t>Souri</t>
  </si>
  <si>
    <t>Banerjee</t>
  </si>
  <si>
    <t>sbaner26@ncsu.edu</t>
  </si>
  <si>
    <t>Owen</t>
  </si>
  <si>
    <t>Bloise</t>
  </si>
  <si>
    <t>ombloise@ncsu.edu</t>
  </si>
  <si>
    <t>Crystal</t>
  </si>
  <si>
    <t>Bowers</t>
  </si>
  <si>
    <t>cbowers2@ncsu.edu</t>
  </si>
  <si>
    <t>Edward</t>
  </si>
  <si>
    <t>Cowles</t>
  </si>
  <si>
    <t>edcowles@ncsu.edu</t>
  </si>
  <si>
    <t>Dyuti</t>
  </si>
  <si>
    <t>Das</t>
  </si>
  <si>
    <t>ddas9@ncsu.edu</t>
  </si>
  <si>
    <t>Antanae</t>
  </si>
  <si>
    <t>Hanna</t>
  </si>
  <si>
    <t>ahanna2@ncsu.edu</t>
  </si>
  <si>
    <t>Steven</t>
  </si>
  <si>
    <t>Hood</t>
  </si>
  <si>
    <t>sthood2@ncsu.edu</t>
  </si>
  <si>
    <t>Lauren</t>
  </si>
  <si>
    <t>Hubert</t>
  </si>
  <si>
    <t>lehubert@ncsu.edu</t>
  </si>
  <si>
    <t>Fritz</t>
  </si>
  <si>
    <t>Humm</t>
  </si>
  <si>
    <t>fshumm@ncsu.edu</t>
  </si>
  <si>
    <t>Briana</t>
  </si>
  <si>
    <t>Laramee</t>
  </si>
  <si>
    <t>bklarame@ncsu.edu</t>
  </si>
  <si>
    <t>Billy</t>
  </si>
  <si>
    <t>Latkin</t>
  </si>
  <si>
    <t>welatkin@ncsu.edu</t>
  </si>
  <si>
    <t>Trevor</t>
  </si>
  <si>
    <t>Lillywhite</t>
  </si>
  <si>
    <t>tflillyw@ncsu.edu</t>
  </si>
  <si>
    <t>Cole</t>
  </si>
  <si>
    <t>Manfred</t>
  </si>
  <si>
    <t>nrmanfre@ncsu.edu</t>
  </si>
  <si>
    <t>Pittman</t>
  </si>
  <si>
    <t>ohpittma@ncsu.edu</t>
  </si>
  <si>
    <t>Nestor</t>
  </si>
  <si>
    <t>Rodriguez-Flores</t>
  </si>
  <si>
    <t>ngrodri2@ncsu.edu</t>
  </si>
  <si>
    <t>Troy</t>
  </si>
  <si>
    <t>Shuman</t>
  </si>
  <si>
    <t>tshuman@ncsu.edu</t>
  </si>
  <si>
    <t>Leeson</t>
  </si>
  <si>
    <t>Weaver</t>
  </si>
  <si>
    <t>lsweaver@ncsu.edu</t>
  </si>
  <si>
    <t>Wilson</t>
  </si>
  <si>
    <t>enwilso4@ncsu.edu</t>
  </si>
  <si>
    <t>Exam 1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</si>
</sst>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7E0D-F990-5D40-B1E5-8F8436570FB1}">
  <dimension ref="A4:E34"/>
  <sheetViews>
    <sheetView topLeftCell="A3" workbookViewId="0">
      <selection activeCell="B26" sqref="B26:C34"/>
    </sheetView>
  </sheetViews>
  <sheetFormatPr baseColWidth="10" defaultRowHeight="16" x14ac:dyDescent="0.2"/>
  <sheetData>
    <row r="4" spans="1:5" x14ac:dyDescent="0.2">
      <c r="B4" t="s">
        <v>29</v>
      </c>
      <c r="C4" t="s">
        <v>30</v>
      </c>
      <c r="D4" t="s">
        <v>31</v>
      </c>
      <c r="E4" t="s">
        <v>32</v>
      </c>
    </row>
    <row r="5" spans="1:5" x14ac:dyDescent="0.2">
      <c r="A5">
        <v>1</v>
      </c>
      <c r="B5" t="s">
        <v>33</v>
      </c>
      <c r="C5" t="s">
        <v>34</v>
      </c>
      <c r="D5" t="s">
        <v>35</v>
      </c>
    </row>
    <row r="6" spans="1:5" x14ac:dyDescent="0.2">
      <c r="A6">
        <v>2</v>
      </c>
      <c r="B6" t="s">
        <v>36</v>
      </c>
      <c r="C6" t="s">
        <v>37</v>
      </c>
      <c r="D6" t="s">
        <v>38</v>
      </c>
    </row>
    <row r="7" spans="1:5" x14ac:dyDescent="0.2">
      <c r="A7">
        <v>3</v>
      </c>
      <c r="B7" t="s">
        <v>39</v>
      </c>
      <c r="C7" t="s">
        <v>40</v>
      </c>
      <c r="D7" t="s">
        <v>41</v>
      </c>
    </row>
    <row r="8" spans="1:5" x14ac:dyDescent="0.2">
      <c r="A8">
        <v>4</v>
      </c>
      <c r="B8" t="s">
        <v>42</v>
      </c>
      <c r="C8" t="s">
        <v>43</v>
      </c>
      <c r="D8" t="s">
        <v>44</v>
      </c>
    </row>
    <row r="9" spans="1:5" x14ac:dyDescent="0.2">
      <c r="A9">
        <v>5</v>
      </c>
      <c r="B9" t="s">
        <v>45</v>
      </c>
      <c r="C9" t="s">
        <v>46</v>
      </c>
      <c r="D9" t="s">
        <v>47</v>
      </c>
    </row>
    <row r="10" spans="1:5" x14ac:dyDescent="0.2">
      <c r="A10">
        <v>6</v>
      </c>
      <c r="B10" t="s">
        <v>48</v>
      </c>
      <c r="C10" t="s">
        <v>49</v>
      </c>
      <c r="D10" t="s">
        <v>50</v>
      </c>
    </row>
    <row r="11" spans="1:5" x14ac:dyDescent="0.2">
      <c r="A11">
        <v>7</v>
      </c>
      <c r="B11" t="s">
        <v>51</v>
      </c>
      <c r="C11" t="s">
        <v>52</v>
      </c>
      <c r="D11" t="s">
        <v>53</v>
      </c>
    </row>
    <row r="12" spans="1:5" x14ac:dyDescent="0.2">
      <c r="A12">
        <v>8</v>
      </c>
      <c r="B12" t="s">
        <v>54</v>
      </c>
      <c r="C12" t="s">
        <v>55</v>
      </c>
      <c r="D12" t="s">
        <v>56</v>
      </c>
    </row>
    <row r="13" spans="1:5" x14ac:dyDescent="0.2">
      <c r="A13">
        <v>9</v>
      </c>
      <c r="B13" t="s">
        <v>57</v>
      </c>
      <c r="C13" t="s">
        <v>58</v>
      </c>
      <c r="D13" t="s">
        <v>59</v>
      </c>
    </row>
    <row r="14" spans="1:5" x14ac:dyDescent="0.2">
      <c r="A14">
        <v>10</v>
      </c>
      <c r="B14" t="s">
        <v>60</v>
      </c>
      <c r="C14" t="s">
        <v>61</v>
      </c>
      <c r="D14" t="s">
        <v>62</v>
      </c>
    </row>
    <row r="15" spans="1:5" x14ac:dyDescent="0.2">
      <c r="A15">
        <v>11</v>
      </c>
      <c r="B15" t="s">
        <v>63</v>
      </c>
      <c r="C15" t="s">
        <v>64</v>
      </c>
      <c r="D15" t="s">
        <v>65</v>
      </c>
    </row>
    <row r="16" spans="1:5" x14ac:dyDescent="0.2">
      <c r="A16">
        <v>12</v>
      </c>
      <c r="B16" t="s">
        <v>66</v>
      </c>
      <c r="C16" t="s">
        <v>67</v>
      </c>
      <c r="D16" t="s">
        <v>68</v>
      </c>
    </row>
    <row r="17" spans="1:4" x14ac:dyDescent="0.2">
      <c r="A17">
        <v>13</v>
      </c>
      <c r="B17" t="s">
        <v>69</v>
      </c>
      <c r="C17" t="s">
        <v>70</v>
      </c>
      <c r="D17" t="s">
        <v>71</v>
      </c>
    </row>
    <row r="18" spans="1:4" x14ac:dyDescent="0.2">
      <c r="A18">
        <v>14</v>
      </c>
      <c r="B18" t="s">
        <v>72</v>
      </c>
      <c r="C18" t="s">
        <v>73</v>
      </c>
      <c r="D18" t="s">
        <v>74</v>
      </c>
    </row>
    <row r="19" spans="1:4" x14ac:dyDescent="0.2">
      <c r="A19">
        <v>15</v>
      </c>
      <c r="B19" t="s">
        <v>39</v>
      </c>
      <c r="C19" t="s">
        <v>75</v>
      </c>
      <c r="D19" t="s">
        <v>76</v>
      </c>
    </row>
    <row r="20" spans="1:4" x14ac:dyDescent="0.2">
      <c r="A20">
        <v>16</v>
      </c>
      <c r="B20" t="s">
        <v>77</v>
      </c>
      <c r="C20" t="s">
        <v>78</v>
      </c>
      <c r="D20" t="s">
        <v>79</v>
      </c>
    </row>
    <row r="21" spans="1:4" x14ac:dyDescent="0.2">
      <c r="A21">
        <v>17</v>
      </c>
      <c r="B21" t="s">
        <v>80</v>
      </c>
      <c r="C21" t="s">
        <v>81</v>
      </c>
      <c r="D21" t="s">
        <v>82</v>
      </c>
    </row>
    <row r="22" spans="1:4" x14ac:dyDescent="0.2">
      <c r="A22">
        <v>18</v>
      </c>
      <c r="B22" t="s">
        <v>83</v>
      </c>
      <c r="C22" t="s">
        <v>84</v>
      </c>
      <c r="D22" t="s">
        <v>85</v>
      </c>
    </row>
    <row r="23" spans="1:4" x14ac:dyDescent="0.2">
      <c r="A23">
        <v>19</v>
      </c>
      <c r="B23" t="s">
        <v>33</v>
      </c>
      <c r="C23" t="s">
        <v>86</v>
      </c>
      <c r="D23" t="s">
        <v>87</v>
      </c>
    </row>
    <row r="26" spans="1:4" x14ac:dyDescent="0.2">
      <c r="B26" t="s">
        <v>33</v>
      </c>
      <c r="C26" t="s">
        <v>34</v>
      </c>
    </row>
    <row r="27" spans="1:4" x14ac:dyDescent="0.2">
      <c r="B27" t="s">
        <v>42</v>
      </c>
      <c r="C27" t="s">
        <v>43</v>
      </c>
    </row>
    <row r="28" spans="1:4" x14ac:dyDescent="0.2">
      <c r="B28" t="s">
        <v>48</v>
      </c>
      <c r="C28" t="s">
        <v>49</v>
      </c>
    </row>
    <row r="29" spans="1:4" x14ac:dyDescent="0.2">
      <c r="B29" t="s">
        <v>57</v>
      </c>
      <c r="C29" t="s">
        <v>58</v>
      </c>
    </row>
    <row r="30" spans="1:4" x14ac:dyDescent="0.2">
      <c r="B30" t="s">
        <v>60</v>
      </c>
      <c r="C30" t="s">
        <v>61</v>
      </c>
    </row>
    <row r="31" spans="1:4" x14ac:dyDescent="0.2">
      <c r="B31" t="s">
        <v>66</v>
      </c>
      <c r="C31" t="s">
        <v>67</v>
      </c>
    </row>
    <row r="32" spans="1:4" x14ac:dyDescent="0.2">
      <c r="B32" t="s">
        <v>69</v>
      </c>
      <c r="C32" t="s">
        <v>70</v>
      </c>
    </row>
    <row r="33" spans="2:3" x14ac:dyDescent="0.2">
      <c r="B33" t="s">
        <v>72</v>
      </c>
      <c r="C33" t="s">
        <v>73</v>
      </c>
    </row>
    <row r="34" spans="2:3" x14ac:dyDescent="0.2">
      <c r="B34" t="s">
        <v>39</v>
      </c>
      <c r="C3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A2:W107"/>
  <sheetViews>
    <sheetView tabSelected="1" topLeftCell="A13" workbookViewId="0">
      <selection activeCell="E42" sqref="E42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1:17" x14ac:dyDescent="0.2">
      <c r="C2" t="s">
        <v>18</v>
      </c>
    </row>
    <row r="3" spans="1:17" x14ac:dyDescent="0.2">
      <c r="C3">
        <v>0.2</v>
      </c>
      <c r="E3">
        <v>0.2</v>
      </c>
      <c r="F3">
        <v>0.2</v>
      </c>
      <c r="G3">
        <v>0.2</v>
      </c>
      <c r="H3">
        <v>0.2</v>
      </c>
    </row>
    <row r="4" spans="1:17" x14ac:dyDescent="0.2">
      <c r="J4" t="s">
        <v>19</v>
      </c>
    </row>
    <row r="5" spans="1:17" x14ac:dyDescent="0.2">
      <c r="B5" t="s">
        <v>0</v>
      </c>
      <c r="C5" t="s">
        <v>10</v>
      </c>
      <c r="D5" t="s">
        <v>88</v>
      </c>
      <c r="E5" t="s">
        <v>11</v>
      </c>
      <c r="F5" t="s">
        <v>12</v>
      </c>
      <c r="G5" t="s">
        <v>13</v>
      </c>
      <c r="H5" t="s">
        <v>14</v>
      </c>
      <c r="J5" t="s">
        <v>10</v>
      </c>
      <c r="K5" t="s">
        <v>11</v>
      </c>
      <c r="L5" t="s">
        <v>12</v>
      </c>
      <c r="M5" t="s">
        <v>13</v>
      </c>
      <c r="N5" t="s">
        <v>14</v>
      </c>
      <c r="O5" t="s">
        <v>17</v>
      </c>
      <c r="P5" t="s">
        <v>22</v>
      </c>
      <c r="Q5" t="s">
        <v>28</v>
      </c>
    </row>
    <row r="6" spans="1:17" x14ac:dyDescent="0.2">
      <c r="A6" t="s">
        <v>36</v>
      </c>
      <c r="B6" t="s">
        <v>37</v>
      </c>
      <c r="D6">
        <v>3</v>
      </c>
      <c r="J6">
        <f>(C6+D6+C$30+C$31)*C$3</f>
        <v>0.60000000000000009</v>
      </c>
      <c r="K6">
        <f>(E6+E$30+E$31)*E$3</f>
        <v>0</v>
      </c>
      <c r="L6">
        <f t="shared" ref="L6:L12" si="0">(F6+F$30)*F$3</f>
        <v>0</v>
      </c>
      <c r="M6">
        <f t="shared" ref="M6:M12" si="1">(G6+G$30+$G$31)*G$3</f>
        <v>0</v>
      </c>
      <c r="N6">
        <f t="shared" ref="N6:N12" si="2">(H6+H$30)*H$3</f>
        <v>0</v>
      </c>
      <c r="O6" s="3">
        <f>SUM(J6:N6)</f>
        <v>0.60000000000000009</v>
      </c>
      <c r="P6" s="2" t="e">
        <f t="shared" ref="P6:P12" si="3">O6/(100*SUM(C4:H4))</f>
        <v>#DIV/0!</v>
      </c>
    </row>
    <row r="7" spans="1:17" x14ac:dyDescent="0.2">
      <c r="A7" t="s">
        <v>39</v>
      </c>
      <c r="B7" t="s">
        <v>40</v>
      </c>
      <c r="D7">
        <v>3</v>
      </c>
      <c r="J7">
        <f t="shared" ref="J7:J26" si="4">(C7+D7+C$30+C$31)*C$3</f>
        <v>0.60000000000000009</v>
      </c>
      <c r="K7">
        <f t="shared" ref="K7:K12" si="5">(E7+E$30+E$31)*E$3</f>
        <v>0</v>
      </c>
      <c r="L7">
        <f t="shared" si="0"/>
        <v>0</v>
      </c>
      <c r="M7">
        <f t="shared" si="1"/>
        <v>0</v>
      </c>
      <c r="N7">
        <f t="shared" si="2"/>
        <v>0</v>
      </c>
      <c r="O7" s="3">
        <f t="shared" ref="O7:O12" si="6">SUM(J7:N7)</f>
        <v>0.60000000000000009</v>
      </c>
      <c r="P7" s="2" t="e">
        <f t="shared" si="3"/>
        <v>#DIV/0!</v>
      </c>
    </row>
    <row r="8" spans="1:17" x14ac:dyDescent="0.2">
      <c r="A8" t="s">
        <v>45</v>
      </c>
      <c r="B8" t="s">
        <v>46</v>
      </c>
      <c r="D8">
        <v>3</v>
      </c>
      <c r="J8">
        <f t="shared" si="4"/>
        <v>0.60000000000000009</v>
      </c>
      <c r="K8">
        <f t="shared" si="5"/>
        <v>0</v>
      </c>
      <c r="L8">
        <f t="shared" si="0"/>
        <v>0</v>
      </c>
      <c r="M8">
        <f t="shared" si="1"/>
        <v>0</v>
      </c>
      <c r="N8">
        <f t="shared" si="2"/>
        <v>0</v>
      </c>
      <c r="O8" s="3">
        <f t="shared" ref="O8" si="7">SUM(J8:N8)</f>
        <v>0.60000000000000009</v>
      </c>
      <c r="P8" s="2">
        <f t="shared" si="3"/>
        <v>2.0000000000000005E-3</v>
      </c>
    </row>
    <row r="9" spans="1:17" x14ac:dyDescent="0.2">
      <c r="A9" t="s">
        <v>51</v>
      </c>
      <c r="B9" t="s">
        <v>52</v>
      </c>
      <c r="D9">
        <v>3</v>
      </c>
      <c r="J9">
        <f t="shared" si="4"/>
        <v>0.60000000000000009</v>
      </c>
      <c r="K9">
        <f t="shared" si="5"/>
        <v>0</v>
      </c>
      <c r="L9">
        <f t="shared" si="0"/>
        <v>0</v>
      </c>
      <c r="M9">
        <f t="shared" si="1"/>
        <v>0</v>
      </c>
      <c r="N9">
        <f t="shared" si="2"/>
        <v>0</v>
      </c>
      <c r="O9" s="3">
        <f t="shared" si="6"/>
        <v>0.60000000000000009</v>
      </c>
      <c r="P9" s="2">
        <f t="shared" si="3"/>
        <v>2.0000000000000005E-3</v>
      </c>
    </row>
    <row r="10" spans="1:17" x14ac:dyDescent="0.2">
      <c r="A10" t="s">
        <v>54</v>
      </c>
      <c r="B10" t="s">
        <v>55</v>
      </c>
      <c r="D10">
        <v>3</v>
      </c>
      <c r="J10">
        <f t="shared" si="4"/>
        <v>0.60000000000000009</v>
      </c>
      <c r="K10">
        <f t="shared" si="5"/>
        <v>0</v>
      </c>
      <c r="L10">
        <f t="shared" si="0"/>
        <v>0</v>
      </c>
      <c r="M10">
        <f t="shared" si="1"/>
        <v>0</v>
      </c>
      <c r="N10">
        <f t="shared" si="2"/>
        <v>0</v>
      </c>
      <c r="O10" s="3">
        <f t="shared" si="6"/>
        <v>0.60000000000000009</v>
      </c>
      <c r="P10" s="2">
        <f t="shared" si="3"/>
        <v>2.0000000000000005E-3</v>
      </c>
    </row>
    <row r="11" spans="1:17" x14ac:dyDescent="0.2">
      <c r="A11" t="s">
        <v>63</v>
      </c>
      <c r="B11" t="s">
        <v>64</v>
      </c>
      <c r="D11">
        <v>3</v>
      </c>
      <c r="J11">
        <f t="shared" si="4"/>
        <v>0.60000000000000009</v>
      </c>
      <c r="K11">
        <f t="shared" si="5"/>
        <v>0</v>
      </c>
      <c r="L11">
        <f t="shared" si="0"/>
        <v>0</v>
      </c>
      <c r="M11">
        <f t="shared" si="1"/>
        <v>0</v>
      </c>
      <c r="N11">
        <f t="shared" si="2"/>
        <v>0</v>
      </c>
      <c r="O11" s="3">
        <f t="shared" si="6"/>
        <v>0.60000000000000009</v>
      </c>
      <c r="P11" s="2">
        <f t="shared" si="3"/>
        <v>2.0000000000000005E-3</v>
      </c>
    </row>
    <row r="12" spans="1:17" x14ac:dyDescent="0.2">
      <c r="A12" t="s">
        <v>77</v>
      </c>
      <c r="B12" t="s">
        <v>78</v>
      </c>
      <c r="D12">
        <v>3</v>
      </c>
      <c r="J12">
        <f t="shared" si="4"/>
        <v>0.60000000000000009</v>
      </c>
      <c r="K12">
        <f t="shared" si="5"/>
        <v>0</v>
      </c>
      <c r="L12">
        <f t="shared" si="0"/>
        <v>0</v>
      </c>
      <c r="M12">
        <f t="shared" si="1"/>
        <v>0</v>
      </c>
      <c r="N12">
        <f t="shared" si="2"/>
        <v>0</v>
      </c>
      <c r="O12" s="3">
        <f t="shared" si="6"/>
        <v>0.60000000000000009</v>
      </c>
      <c r="P12" s="2">
        <f t="shared" si="3"/>
        <v>2.0000000000000005E-3</v>
      </c>
    </row>
    <row r="13" spans="1:17" x14ac:dyDescent="0.2">
      <c r="A13" t="s">
        <v>80</v>
      </c>
      <c r="B13" t="s">
        <v>81</v>
      </c>
      <c r="D13">
        <v>3</v>
      </c>
      <c r="J13">
        <f t="shared" si="4"/>
        <v>0.60000000000000009</v>
      </c>
      <c r="O13" s="3"/>
      <c r="P13" s="2"/>
    </row>
    <row r="14" spans="1:17" x14ac:dyDescent="0.2">
      <c r="A14" t="s">
        <v>83</v>
      </c>
      <c r="B14" t="s">
        <v>84</v>
      </c>
      <c r="D14">
        <v>3</v>
      </c>
      <c r="J14">
        <f t="shared" si="4"/>
        <v>0.60000000000000009</v>
      </c>
      <c r="O14" s="3"/>
      <c r="P14" s="2"/>
    </row>
    <row r="15" spans="1:17" x14ac:dyDescent="0.2">
      <c r="A15" t="s">
        <v>33</v>
      </c>
      <c r="B15" t="s">
        <v>86</v>
      </c>
      <c r="D15">
        <v>3</v>
      </c>
      <c r="J15">
        <f t="shared" si="4"/>
        <v>0.60000000000000009</v>
      </c>
      <c r="O15" s="3"/>
      <c r="P15" s="2"/>
    </row>
    <row r="16" spans="1:17" x14ac:dyDescent="0.2">
      <c r="O16" s="3"/>
      <c r="P16" s="2"/>
    </row>
    <row r="17" spans="1:16" x14ac:dyDescent="0.2">
      <c r="A17" t="s">
        <v>3</v>
      </c>
      <c r="O17" s="3"/>
      <c r="P17" s="2"/>
    </row>
    <row r="18" spans="1:16" x14ac:dyDescent="0.2">
      <c r="A18" t="s">
        <v>33</v>
      </c>
      <c r="B18" t="s">
        <v>34</v>
      </c>
      <c r="D18">
        <v>3</v>
      </c>
      <c r="J18">
        <f t="shared" si="4"/>
        <v>0.60000000000000009</v>
      </c>
      <c r="O18" s="3"/>
      <c r="P18" s="2"/>
    </row>
    <row r="19" spans="1:16" x14ac:dyDescent="0.2">
      <c r="A19" t="s">
        <v>42</v>
      </c>
      <c r="B19" t="s">
        <v>43</v>
      </c>
      <c r="D19">
        <v>3</v>
      </c>
      <c r="J19">
        <f t="shared" si="4"/>
        <v>0.60000000000000009</v>
      </c>
      <c r="O19" s="3"/>
      <c r="P19" s="2"/>
    </row>
    <row r="20" spans="1:16" x14ac:dyDescent="0.2">
      <c r="A20" t="s">
        <v>48</v>
      </c>
      <c r="B20" t="s">
        <v>49</v>
      </c>
      <c r="D20">
        <v>3</v>
      </c>
      <c r="J20">
        <f t="shared" si="4"/>
        <v>0.60000000000000009</v>
      </c>
      <c r="O20" s="3"/>
      <c r="P20" s="2"/>
    </row>
    <row r="21" spans="1:16" x14ac:dyDescent="0.2">
      <c r="A21" t="s">
        <v>57</v>
      </c>
      <c r="B21" t="s">
        <v>58</v>
      </c>
      <c r="D21">
        <v>3</v>
      </c>
      <c r="J21">
        <f t="shared" si="4"/>
        <v>0.60000000000000009</v>
      </c>
      <c r="O21" s="3"/>
      <c r="P21" s="2"/>
    </row>
    <row r="22" spans="1:16" x14ac:dyDescent="0.2">
      <c r="A22" t="s">
        <v>60</v>
      </c>
      <c r="B22" t="s">
        <v>61</v>
      </c>
      <c r="J22">
        <f t="shared" si="4"/>
        <v>0</v>
      </c>
      <c r="O22" s="3"/>
      <c r="P22" s="2"/>
    </row>
    <row r="23" spans="1:16" x14ac:dyDescent="0.2">
      <c r="A23" t="s">
        <v>66</v>
      </c>
      <c r="B23" t="s">
        <v>67</v>
      </c>
      <c r="D23">
        <v>3</v>
      </c>
      <c r="J23">
        <f t="shared" si="4"/>
        <v>0.60000000000000009</v>
      </c>
      <c r="O23" s="3"/>
      <c r="P23" s="2"/>
    </row>
    <row r="24" spans="1:16" x14ac:dyDescent="0.2">
      <c r="A24" t="s">
        <v>69</v>
      </c>
      <c r="B24" t="s">
        <v>70</v>
      </c>
      <c r="D24">
        <v>3</v>
      </c>
      <c r="J24">
        <f t="shared" si="4"/>
        <v>0.60000000000000009</v>
      </c>
      <c r="O24" s="3"/>
      <c r="P24" s="2"/>
    </row>
    <row r="25" spans="1:16" x14ac:dyDescent="0.2">
      <c r="A25" t="s">
        <v>72</v>
      </c>
      <c r="B25" t="s">
        <v>73</v>
      </c>
      <c r="D25">
        <v>3</v>
      </c>
      <c r="J25">
        <f t="shared" si="4"/>
        <v>0.60000000000000009</v>
      </c>
      <c r="O25" s="3"/>
      <c r="P25" s="2"/>
    </row>
    <row r="26" spans="1:16" x14ac:dyDescent="0.2">
      <c r="A26" t="s">
        <v>39</v>
      </c>
      <c r="B26" t="s">
        <v>75</v>
      </c>
      <c r="D26">
        <v>3</v>
      </c>
      <c r="J26">
        <f t="shared" si="4"/>
        <v>0.60000000000000009</v>
      </c>
      <c r="O26" s="3"/>
      <c r="P26" s="2"/>
    </row>
    <row r="28" spans="1:16" x14ac:dyDescent="0.2">
      <c r="B28" t="s">
        <v>15</v>
      </c>
      <c r="C28" s="1" t="e">
        <f>AVERAGE(C6:C16)</f>
        <v>#DIV/0!</v>
      </c>
      <c r="D28" s="1"/>
      <c r="E28" s="1" t="e">
        <f>AVERAGE(E6:E16)</f>
        <v>#DIV/0!</v>
      </c>
      <c r="F28" s="1" t="e">
        <f>AVERAGE(F6:F16)</f>
        <v>#DIV/0!</v>
      </c>
      <c r="G28" s="1" t="e">
        <f>AVERAGE(G6:G16)</f>
        <v>#DIV/0!</v>
      </c>
      <c r="H28" s="1" t="e">
        <f>AVERAGE(H6:H16)</f>
        <v>#DIV/0!</v>
      </c>
      <c r="O28" t="s">
        <v>24</v>
      </c>
      <c r="P28" s="2" t="e">
        <f>AVERAGE(P6:P16)</f>
        <v>#DIV/0!</v>
      </c>
    </row>
    <row r="29" spans="1:16" x14ac:dyDescent="0.2">
      <c r="B29" t="s">
        <v>23</v>
      </c>
      <c r="C29" s="1" t="e">
        <f>STDEV(C6:C16)</f>
        <v>#DIV/0!</v>
      </c>
      <c r="D29" s="1"/>
      <c r="E29" s="1" t="e">
        <f>STDEV(E6:E16)</f>
        <v>#DIV/0!</v>
      </c>
      <c r="F29" s="1" t="e">
        <f>STDEV(F6:F16)</f>
        <v>#DIV/0!</v>
      </c>
      <c r="G29" s="1" t="e">
        <f>STDEV(G6:G16)</f>
        <v>#DIV/0!</v>
      </c>
      <c r="H29" s="1" t="e">
        <f>STDEV(H6:H16)</f>
        <v>#DIV/0!</v>
      </c>
      <c r="O29" t="s">
        <v>25</v>
      </c>
      <c r="P29" s="2" t="e">
        <f>STDEV(P6:P16)</f>
        <v>#DIV/0!</v>
      </c>
    </row>
    <row r="30" spans="1:16" x14ac:dyDescent="0.2">
      <c r="B30" t="s">
        <v>16</v>
      </c>
      <c r="C30">
        <v>0</v>
      </c>
    </row>
    <row r="31" spans="1:16" x14ac:dyDescent="0.2">
      <c r="B31" t="s">
        <v>27</v>
      </c>
    </row>
    <row r="32" spans="1:16" x14ac:dyDescent="0.2">
      <c r="B32" t="s">
        <v>17</v>
      </c>
      <c r="C32" s="1" t="e">
        <f>C28+C30+C31</f>
        <v>#DIV/0!</v>
      </c>
      <c r="D32" s="1"/>
      <c r="E32" s="1" t="e">
        <f t="shared" ref="E32:F32" si="8">E28+E30+E31</f>
        <v>#DIV/0!</v>
      </c>
      <c r="F32" s="1" t="e">
        <f t="shared" si="8"/>
        <v>#DIV/0!</v>
      </c>
      <c r="G32" s="1" t="e">
        <f>G28+G30+G31</f>
        <v>#DIV/0!</v>
      </c>
      <c r="H32" s="1" t="e">
        <f>H28+H30</f>
        <v>#DIV/0!</v>
      </c>
    </row>
    <row r="36" spans="2:23" x14ac:dyDescent="0.2">
      <c r="B36" t="s">
        <v>10</v>
      </c>
      <c r="C36" t="s">
        <v>18</v>
      </c>
      <c r="D36" t="s">
        <v>37</v>
      </c>
      <c r="E36" t="s">
        <v>40</v>
      </c>
      <c r="F36" t="s">
        <v>46</v>
      </c>
      <c r="G36" t="s">
        <v>52</v>
      </c>
      <c r="H36" t="s">
        <v>55</v>
      </c>
      <c r="I36" t="s">
        <v>64</v>
      </c>
      <c r="J36" t="s">
        <v>78</v>
      </c>
      <c r="K36" t="s">
        <v>81</v>
      </c>
      <c r="L36" t="s">
        <v>84</v>
      </c>
      <c r="M36" t="s">
        <v>86</v>
      </c>
      <c r="O36" t="s">
        <v>34</v>
      </c>
      <c r="P36" t="s">
        <v>43</v>
      </c>
      <c r="Q36" t="s">
        <v>49</v>
      </c>
      <c r="R36" t="s">
        <v>58</v>
      </c>
      <c r="S36" t="s">
        <v>61</v>
      </c>
      <c r="T36" t="s">
        <v>67</v>
      </c>
      <c r="U36" t="s">
        <v>70</v>
      </c>
      <c r="V36" t="s">
        <v>73</v>
      </c>
      <c r="W36" t="s">
        <v>75</v>
      </c>
    </row>
    <row r="37" spans="2:23" x14ac:dyDescent="0.2">
      <c r="B37">
        <v>1</v>
      </c>
      <c r="C37">
        <v>10</v>
      </c>
    </row>
    <row r="38" spans="2:23" x14ac:dyDescent="0.2">
      <c r="B38">
        <v>2</v>
      </c>
      <c r="C38">
        <v>12</v>
      </c>
    </row>
    <row r="39" spans="2:23" x14ac:dyDescent="0.2">
      <c r="B39">
        <v>3</v>
      </c>
      <c r="C39">
        <v>8</v>
      </c>
    </row>
    <row r="40" spans="2:23" x14ac:dyDescent="0.2">
      <c r="B40">
        <v>4</v>
      </c>
      <c r="C40">
        <v>18</v>
      </c>
    </row>
    <row r="41" spans="2:23" x14ac:dyDescent="0.2">
      <c r="B41">
        <v>5</v>
      </c>
      <c r="C41">
        <v>10</v>
      </c>
    </row>
    <row r="42" spans="2:23" x14ac:dyDescent="0.2">
      <c r="B42">
        <v>6</v>
      </c>
      <c r="C42">
        <v>18</v>
      </c>
    </row>
    <row r="43" spans="2:23" x14ac:dyDescent="0.2">
      <c r="B43">
        <v>7</v>
      </c>
      <c r="C43">
        <v>9</v>
      </c>
    </row>
    <row r="44" spans="2:23" x14ac:dyDescent="0.2">
      <c r="B44">
        <v>8</v>
      </c>
      <c r="C44">
        <v>5</v>
      </c>
    </row>
    <row r="45" spans="2:23" x14ac:dyDescent="0.2">
      <c r="B45">
        <v>9</v>
      </c>
      <c r="C45">
        <v>10</v>
      </c>
    </row>
    <row r="46" spans="2:23" x14ac:dyDescent="0.2">
      <c r="B46">
        <v>10</v>
      </c>
    </row>
    <row r="47" spans="2:23" x14ac:dyDescent="0.2">
      <c r="B47" t="s">
        <v>21</v>
      </c>
      <c r="C47">
        <f>SUM(C37:C46)</f>
        <v>100</v>
      </c>
      <c r="D47">
        <f t="shared" ref="D47:L47" si="9">SUM(D37:D46)</f>
        <v>0</v>
      </c>
      <c r="E47">
        <f t="shared" si="9"/>
        <v>0</v>
      </c>
      <c r="F47">
        <f t="shared" si="9"/>
        <v>0</v>
      </c>
      <c r="G47">
        <f t="shared" si="9"/>
        <v>0</v>
      </c>
      <c r="H47">
        <f t="shared" si="9"/>
        <v>0</v>
      </c>
      <c r="I47">
        <f t="shared" si="9"/>
        <v>0</v>
      </c>
      <c r="J47">
        <f t="shared" si="9"/>
        <v>0</v>
      </c>
      <c r="K47">
        <f t="shared" si="9"/>
        <v>0</v>
      </c>
      <c r="L47">
        <f t="shared" si="9"/>
        <v>0</v>
      </c>
    </row>
    <row r="49" spans="2:12" x14ac:dyDescent="0.2">
      <c r="B49" t="s">
        <v>11</v>
      </c>
      <c r="C49" t="s">
        <v>18</v>
      </c>
      <c r="D49" t="s">
        <v>1</v>
      </c>
      <c r="E49" t="s">
        <v>2</v>
      </c>
      <c r="F49" t="s">
        <v>20</v>
      </c>
      <c r="G49" t="s">
        <v>5</v>
      </c>
      <c r="H49" t="s">
        <v>6</v>
      </c>
      <c r="I49" t="s">
        <v>8</v>
      </c>
      <c r="J49" t="s">
        <v>9</v>
      </c>
      <c r="K49" t="s">
        <v>4</v>
      </c>
      <c r="L49" t="s">
        <v>7</v>
      </c>
    </row>
    <row r="50" spans="2:12" x14ac:dyDescent="0.2">
      <c r="B50">
        <v>1</v>
      </c>
      <c r="C50">
        <v>6</v>
      </c>
      <c r="D50">
        <v>5</v>
      </c>
      <c r="E50">
        <v>6</v>
      </c>
      <c r="F50">
        <v>6</v>
      </c>
      <c r="G50">
        <v>4</v>
      </c>
      <c r="H50">
        <v>4</v>
      </c>
      <c r="I50">
        <v>5</v>
      </c>
      <c r="J50">
        <v>6</v>
      </c>
      <c r="K50">
        <v>5</v>
      </c>
      <c r="L50">
        <v>4</v>
      </c>
    </row>
    <row r="51" spans="2:12" x14ac:dyDescent="0.2">
      <c r="B51">
        <v>2</v>
      </c>
      <c r="C51">
        <v>6</v>
      </c>
      <c r="D51">
        <v>6</v>
      </c>
      <c r="E51">
        <v>6</v>
      </c>
      <c r="F51">
        <v>5</v>
      </c>
      <c r="G51">
        <v>6</v>
      </c>
      <c r="H51">
        <v>6</v>
      </c>
      <c r="I51">
        <v>5</v>
      </c>
      <c r="J51">
        <v>6</v>
      </c>
      <c r="K51">
        <v>6</v>
      </c>
      <c r="L51">
        <v>5</v>
      </c>
    </row>
    <row r="52" spans="2:12" x14ac:dyDescent="0.2">
      <c r="B52">
        <v>3</v>
      </c>
      <c r="C52">
        <v>10</v>
      </c>
      <c r="D52">
        <v>10</v>
      </c>
      <c r="E52">
        <v>10</v>
      </c>
      <c r="F52">
        <v>10</v>
      </c>
      <c r="G52">
        <v>9</v>
      </c>
      <c r="H52">
        <v>9</v>
      </c>
      <c r="I52">
        <v>10</v>
      </c>
      <c r="J52">
        <v>10</v>
      </c>
      <c r="K52">
        <v>10</v>
      </c>
      <c r="L52">
        <v>9</v>
      </c>
    </row>
    <row r="53" spans="2:12" x14ac:dyDescent="0.2">
      <c r="B53">
        <v>4</v>
      </c>
      <c r="C53">
        <v>12</v>
      </c>
      <c r="D53">
        <v>10</v>
      </c>
      <c r="E53">
        <v>11</v>
      </c>
      <c r="F53">
        <v>10</v>
      </c>
      <c r="G53">
        <v>7</v>
      </c>
      <c r="H53">
        <v>5</v>
      </c>
      <c r="I53">
        <v>8</v>
      </c>
      <c r="J53">
        <v>11</v>
      </c>
      <c r="K53">
        <v>12</v>
      </c>
      <c r="L53">
        <v>7</v>
      </c>
    </row>
    <row r="54" spans="2:12" x14ac:dyDescent="0.2">
      <c r="B54">
        <v>5</v>
      </c>
      <c r="C54">
        <v>8</v>
      </c>
      <c r="D54">
        <v>8</v>
      </c>
      <c r="E54">
        <v>8</v>
      </c>
      <c r="F54">
        <v>8</v>
      </c>
      <c r="G54">
        <v>7</v>
      </c>
      <c r="H54">
        <v>5</v>
      </c>
      <c r="I54">
        <v>7</v>
      </c>
      <c r="J54">
        <v>8</v>
      </c>
      <c r="K54">
        <v>8</v>
      </c>
      <c r="L54">
        <v>7</v>
      </c>
    </row>
    <row r="55" spans="2:12" x14ac:dyDescent="0.2">
      <c r="B55">
        <v>6</v>
      </c>
      <c r="C55">
        <v>15</v>
      </c>
      <c r="D55">
        <v>15</v>
      </c>
      <c r="E55">
        <v>14</v>
      </c>
      <c r="F55">
        <v>13</v>
      </c>
      <c r="G55">
        <v>5</v>
      </c>
      <c r="H55">
        <v>14</v>
      </c>
      <c r="I55">
        <v>13</v>
      </c>
      <c r="J55">
        <v>14</v>
      </c>
      <c r="K55">
        <v>14</v>
      </c>
      <c r="L55">
        <v>13</v>
      </c>
    </row>
    <row r="56" spans="2:12" x14ac:dyDescent="0.2">
      <c r="B56">
        <v>7</v>
      </c>
      <c r="C56">
        <v>15</v>
      </c>
      <c r="D56">
        <v>14</v>
      </c>
      <c r="E56">
        <v>13</v>
      </c>
      <c r="F56">
        <v>15</v>
      </c>
      <c r="G56">
        <v>14</v>
      </c>
      <c r="H56">
        <v>12</v>
      </c>
      <c r="I56">
        <v>14</v>
      </c>
      <c r="J56">
        <v>15</v>
      </c>
      <c r="K56">
        <v>14</v>
      </c>
      <c r="L56">
        <v>10</v>
      </c>
    </row>
    <row r="57" spans="2:12" x14ac:dyDescent="0.2">
      <c r="B57">
        <v>8</v>
      </c>
      <c r="C57">
        <v>8</v>
      </c>
      <c r="D57">
        <v>6</v>
      </c>
      <c r="E57">
        <v>5</v>
      </c>
      <c r="F57">
        <v>7</v>
      </c>
      <c r="G57">
        <v>1</v>
      </c>
      <c r="H57">
        <v>3</v>
      </c>
      <c r="I57">
        <v>6</v>
      </c>
      <c r="J57">
        <v>8</v>
      </c>
      <c r="K57">
        <v>8</v>
      </c>
      <c r="L57">
        <v>4</v>
      </c>
    </row>
    <row r="58" spans="2:12" x14ac:dyDescent="0.2">
      <c r="B58">
        <v>9</v>
      </c>
      <c r="C58">
        <v>12</v>
      </c>
      <c r="D58">
        <v>11</v>
      </c>
      <c r="E58">
        <v>11</v>
      </c>
      <c r="F58">
        <v>11</v>
      </c>
      <c r="G58">
        <v>9</v>
      </c>
      <c r="H58">
        <v>8</v>
      </c>
      <c r="I58">
        <v>12</v>
      </c>
      <c r="J58">
        <v>12</v>
      </c>
      <c r="K58">
        <v>12</v>
      </c>
      <c r="L58">
        <v>12</v>
      </c>
    </row>
    <row r="59" spans="2:12" x14ac:dyDescent="0.2">
      <c r="B59">
        <v>10</v>
      </c>
      <c r="C59">
        <v>8</v>
      </c>
      <c r="D59">
        <v>8</v>
      </c>
      <c r="E59">
        <v>7</v>
      </c>
      <c r="F59">
        <v>8</v>
      </c>
      <c r="G59">
        <v>6</v>
      </c>
      <c r="H59">
        <v>7</v>
      </c>
      <c r="I59">
        <v>8</v>
      </c>
      <c r="J59">
        <v>7</v>
      </c>
      <c r="K59">
        <v>8</v>
      </c>
      <c r="L59">
        <v>8</v>
      </c>
    </row>
    <row r="60" spans="2:12" x14ac:dyDescent="0.2">
      <c r="B60" t="s">
        <v>21</v>
      </c>
      <c r="C60">
        <f>SUM(C50:C59)</f>
        <v>100</v>
      </c>
      <c r="D60">
        <f t="shared" ref="D60:L60" si="10">SUM(D50:D59)</f>
        <v>93</v>
      </c>
      <c r="E60">
        <f t="shared" si="10"/>
        <v>91</v>
      </c>
      <c r="F60">
        <f t="shared" si="10"/>
        <v>93</v>
      </c>
      <c r="G60">
        <f t="shared" si="10"/>
        <v>68</v>
      </c>
      <c r="H60">
        <f t="shared" si="10"/>
        <v>73</v>
      </c>
      <c r="I60">
        <f t="shared" si="10"/>
        <v>88</v>
      </c>
      <c r="J60">
        <f t="shared" si="10"/>
        <v>97</v>
      </c>
      <c r="K60">
        <f t="shared" si="10"/>
        <v>97</v>
      </c>
      <c r="L60">
        <f t="shared" si="10"/>
        <v>79</v>
      </c>
    </row>
    <row r="62" spans="2:12" x14ac:dyDescent="0.2">
      <c r="B62" t="s">
        <v>12</v>
      </c>
      <c r="C62" t="s">
        <v>18</v>
      </c>
      <c r="D62" t="s">
        <v>1</v>
      </c>
      <c r="E62" t="s">
        <v>2</v>
      </c>
      <c r="F62" t="s">
        <v>20</v>
      </c>
      <c r="G62" t="s">
        <v>5</v>
      </c>
      <c r="H62" t="s">
        <v>6</v>
      </c>
      <c r="I62" t="s">
        <v>8</v>
      </c>
      <c r="J62" t="s">
        <v>9</v>
      </c>
      <c r="K62" t="s">
        <v>4</v>
      </c>
      <c r="L62" t="s">
        <v>7</v>
      </c>
    </row>
    <row r="63" spans="2:12" x14ac:dyDescent="0.2">
      <c r="B63">
        <v>1</v>
      </c>
      <c r="C63">
        <v>6</v>
      </c>
      <c r="D63">
        <v>6</v>
      </c>
      <c r="E63">
        <v>6</v>
      </c>
      <c r="F63">
        <v>6</v>
      </c>
      <c r="G63">
        <v>6</v>
      </c>
      <c r="H63">
        <v>6</v>
      </c>
      <c r="I63">
        <v>6</v>
      </c>
      <c r="J63">
        <v>6</v>
      </c>
      <c r="K63">
        <v>6</v>
      </c>
      <c r="L63">
        <v>6</v>
      </c>
    </row>
    <row r="64" spans="2:12" x14ac:dyDescent="0.2">
      <c r="B64">
        <v>2</v>
      </c>
      <c r="C64">
        <v>6</v>
      </c>
      <c r="D64">
        <v>6</v>
      </c>
      <c r="E64">
        <v>6</v>
      </c>
      <c r="F64">
        <v>6</v>
      </c>
      <c r="G64">
        <v>2</v>
      </c>
      <c r="H64">
        <v>2</v>
      </c>
      <c r="I64">
        <v>6</v>
      </c>
      <c r="J64">
        <v>4</v>
      </c>
      <c r="K64">
        <v>6</v>
      </c>
      <c r="L64">
        <v>4</v>
      </c>
    </row>
    <row r="65" spans="2:12" x14ac:dyDescent="0.2">
      <c r="B65">
        <v>3</v>
      </c>
      <c r="C65">
        <v>6</v>
      </c>
      <c r="D65">
        <v>4</v>
      </c>
      <c r="E65">
        <v>4</v>
      </c>
      <c r="F65">
        <v>3</v>
      </c>
      <c r="G65">
        <v>2</v>
      </c>
      <c r="H65">
        <v>2</v>
      </c>
      <c r="I65">
        <v>6</v>
      </c>
      <c r="J65">
        <v>4</v>
      </c>
      <c r="K65">
        <v>6</v>
      </c>
      <c r="L65">
        <v>6</v>
      </c>
    </row>
    <row r="66" spans="2:12" x14ac:dyDescent="0.2">
      <c r="B66">
        <v>4</v>
      </c>
      <c r="C66">
        <v>6</v>
      </c>
      <c r="D66">
        <v>6</v>
      </c>
      <c r="E66">
        <v>6</v>
      </c>
      <c r="F66">
        <v>5</v>
      </c>
      <c r="G66">
        <v>6</v>
      </c>
      <c r="H66">
        <v>5</v>
      </c>
      <c r="I66">
        <v>6</v>
      </c>
      <c r="J66">
        <v>5</v>
      </c>
      <c r="K66">
        <v>6</v>
      </c>
      <c r="L66">
        <v>5</v>
      </c>
    </row>
    <row r="67" spans="2:12" x14ac:dyDescent="0.2">
      <c r="B67">
        <v>5</v>
      </c>
      <c r="C67">
        <v>16</v>
      </c>
      <c r="D67">
        <v>15</v>
      </c>
      <c r="E67">
        <v>10</v>
      </c>
      <c r="F67">
        <v>13</v>
      </c>
      <c r="G67">
        <v>11</v>
      </c>
      <c r="H67">
        <v>13</v>
      </c>
      <c r="I67">
        <v>11</v>
      </c>
      <c r="J67">
        <v>16</v>
      </c>
      <c r="K67">
        <v>14</v>
      </c>
      <c r="L67">
        <v>11</v>
      </c>
    </row>
    <row r="68" spans="2:12" x14ac:dyDescent="0.2">
      <c r="B68">
        <v>6</v>
      </c>
      <c r="C68">
        <v>6</v>
      </c>
      <c r="D68">
        <v>6</v>
      </c>
      <c r="E68">
        <v>6</v>
      </c>
      <c r="F68">
        <v>6</v>
      </c>
      <c r="G68">
        <v>6</v>
      </c>
      <c r="H68">
        <v>6</v>
      </c>
      <c r="I68">
        <v>6</v>
      </c>
      <c r="J68">
        <v>6</v>
      </c>
      <c r="K68">
        <v>6</v>
      </c>
      <c r="L68">
        <v>6</v>
      </c>
    </row>
    <row r="69" spans="2:12" x14ac:dyDescent="0.2">
      <c r="B69">
        <v>7</v>
      </c>
      <c r="C69">
        <v>12</v>
      </c>
      <c r="D69">
        <v>12</v>
      </c>
      <c r="E69">
        <v>10</v>
      </c>
      <c r="F69">
        <v>12</v>
      </c>
      <c r="G69">
        <v>12</v>
      </c>
      <c r="H69">
        <v>6</v>
      </c>
      <c r="I69">
        <v>8</v>
      </c>
      <c r="J69">
        <v>10</v>
      </c>
      <c r="K69">
        <v>10</v>
      </c>
      <c r="L69">
        <v>9</v>
      </c>
    </row>
    <row r="70" spans="2:12" x14ac:dyDescent="0.2">
      <c r="B70">
        <v>8</v>
      </c>
      <c r="C70">
        <v>8</v>
      </c>
      <c r="D70">
        <v>8</v>
      </c>
      <c r="E70">
        <v>8</v>
      </c>
      <c r="F70">
        <v>8</v>
      </c>
      <c r="G70">
        <v>8</v>
      </c>
      <c r="H70">
        <v>7</v>
      </c>
      <c r="I70">
        <v>8</v>
      </c>
      <c r="J70">
        <v>6</v>
      </c>
      <c r="K70">
        <v>8</v>
      </c>
      <c r="L70">
        <v>8</v>
      </c>
    </row>
    <row r="71" spans="2:12" x14ac:dyDescent="0.2">
      <c r="B71">
        <v>9</v>
      </c>
      <c r="C71">
        <v>10</v>
      </c>
      <c r="D71">
        <v>10</v>
      </c>
      <c r="E71">
        <v>10</v>
      </c>
      <c r="F71">
        <v>10</v>
      </c>
      <c r="G71">
        <v>10</v>
      </c>
      <c r="H71">
        <v>10</v>
      </c>
      <c r="I71">
        <v>5</v>
      </c>
      <c r="J71">
        <v>5</v>
      </c>
      <c r="K71">
        <v>10</v>
      </c>
      <c r="L71">
        <v>10</v>
      </c>
    </row>
    <row r="72" spans="2:12" x14ac:dyDescent="0.2"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10</v>
      </c>
      <c r="J72">
        <v>10</v>
      </c>
      <c r="K72">
        <v>10</v>
      </c>
      <c r="L72">
        <v>10</v>
      </c>
    </row>
    <row r="73" spans="2:12" x14ac:dyDescent="0.2">
      <c r="B73">
        <v>11</v>
      </c>
      <c r="C73">
        <v>6</v>
      </c>
      <c r="D73">
        <v>6</v>
      </c>
      <c r="E73">
        <v>6</v>
      </c>
      <c r="F73">
        <v>4</v>
      </c>
      <c r="G73">
        <v>4</v>
      </c>
      <c r="H73">
        <v>5</v>
      </c>
      <c r="I73">
        <v>6</v>
      </c>
      <c r="J73">
        <v>5</v>
      </c>
      <c r="K73">
        <v>4</v>
      </c>
      <c r="L73">
        <v>4</v>
      </c>
    </row>
    <row r="74" spans="2:12" x14ac:dyDescent="0.2">
      <c r="B74">
        <v>12</v>
      </c>
      <c r="C74">
        <v>8</v>
      </c>
      <c r="D74">
        <v>6</v>
      </c>
      <c r="E74">
        <v>7</v>
      </c>
      <c r="F74">
        <v>7</v>
      </c>
      <c r="G74">
        <v>6</v>
      </c>
      <c r="H74">
        <v>5</v>
      </c>
      <c r="I74">
        <v>5</v>
      </c>
      <c r="J74">
        <v>7</v>
      </c>
      <c r="K74">
        <v>8</v>
      </c>
      <c r="L74">
        <v>6</v>
      </c>
    </row>
    <row r="75" spans="2:12" x14ac:dyDescent="0.2">
      <c r="B75" t="s">
        <v>21</v>
      </c>
      <c r="C75">
        <f>SUM(C63:C74)</f>
        <v>100</v>
      </c>
      <c r="D75">
        <f t="shared" ref="D75:L75" si="11">SUM(D63:D74)</f>
        <v>95</v>
      </c>
      <c r="E75">
        <f t="shared" si="11"/>
        <v>89</v>
      </c>
      <c r="F75">
        <f t="shared" si="11"/>
        <v>90</v>
      </c>
      <c r="G75">
        <f t="shared" si="11"/>
        <v>83</v>
      </c>
      <c r="H75">
        <f t="shared" si="11"/>
        <v>77</v>
      </c>
      <c r="I75">
        <f t="shared" si="11"/>
        <v>83</v>
      </c>
      <c r="J75">
        <f t="shared" si="11"/>
        <v>84</v>
      </c>
      <c r="K75">
        <f t="shared" si="11"/>
        <v>94</v>
      </c>
      <c r="L75">
        <f t="shared" si="11"/>
        <v>85</v>
      </c>
    </row>
    <row r="77" spans="2:12" x14ac:dyDescent="0.2">
      <c r="B77" t="s">
        <v>13</v>
      </c>
      <c r="C77" t="s">
        <v>18</v>
      </c>
      <c r="D77" t="s">
        <v>1</v>
      </c>
      <c r="E77" t="s">
        <v>2</v>
      </c>
      <c r="F77" t="s">
        <v>20</v>
      </c>
      <c r="G77" t="s">
        <v>5</v>
      </c>
      <c r="H77" t="s">
        <v>6</v>
      </c>
      <c r="I77" t="s">
        <v>8</v>
      </c>
      <c r="J77" t="s">
        <v>9</v>
      </c>
      <c r="K77" t="s">
        <v>4</v>
      </c>
      <c r="L77" t="s">
        <v>7</v>
      </c>
    </row>
    <row r="78" spans="2:12" x14ac:dyDescent="0.2">
      <c r="B78">
        <v>1</v>
      </c>
      <c r="C78">
        <v>10</v>
      </c>
      <c r="D78">
        <v>10</v>
      </c>
      <c r="E78">
        <v>9</v>
      </c>
      <c r="F78">
        <v>10</v>
      </c>
      <c r="G78">
        <v>9</v>
      </c>
      <c r="H78">
        <v>6</v>
      </c>
      <c r="I78">
        <v>9</v>
      </c>
      <c r="J78">
        <v>10</v>
      </c>
      <c r="K78">
        <v>10</v>
      </c>
      <c r="L78">
        <v>9</v>
      </c>
    </row>
    <row r="79" spans="2:12" x14ac:dyDescent="0.2">
      <c r="B79">
        <v>2</v>
      </c>
      <c r="C79">
        <v>10</v>
      </c>
      <c r="D79">
        <v>7</v>
      </c>
      <c r="E79">
        <v>7</v>
      </c>
      <c r="F79">
        <v>7</v>
      </c>
      <c r="G79">
        <v>7</v>
      </c>
      <c r="H79">
        <v>10</v>
      </c>
      <c r="I79">
        <v>10</v>
      </c>
      <c r="J79">
        <v>10</v>
      </c>
      <c r="K79">
        <v>10</v>
      </c>
      <c r="L79">
        <v>7</v>
      </c>
    </row>
    <row r="80" spans="2:12" x14ac:dyDescent="0.2">
      <c r="B80">
        <v>3</v>
      </c>
      <c r="C80">
        <v>10</v>
      </c>
      <c r="D80">
        <v>8</v>
      </c>
      <c r="E80">
        <v>9</v>
      </c>
      <c r="F80">
        <v>10</v>
      </c>
      <c r="G80">
        <v>5</v>
      </c>
      <c r="H80">
        <v>7</v>
      </c>
      <c r="I80">
        <v>7</v>
      </c>
      <c r="J80">
        <v>9</v>
      </c>
      <c r="K80">
        <v>9</v>
      </c>
      <c r="L80">
        <v>7</v>
      </c>
    </row>
    <row r="81" spans="2:12" x14ac:dyDescent="0.2">
      <c r="B81">
        <v>4</v>
      </c>
      <c r="C81">
        <v>8</v>
      </c>
      <c r="D81">
        <v>8</v>
      </c>
      <c r="E81">
        <v>8</v>
      </c>
      <c r="F81">
        <v>6</v>
      </c>
      <c r="G81">
        <v>8</v>
      </c>
      <c r="H81">
        <v>6</v>
      </c>
      <c r="I81">
        <v>7</v>
      </c>
      <c r="J81">
        <v>7</v>
      </c>
      <c r="K81">
        <v>8</v>
      </c>
      <c r="L81">
        <v>7</v>
      </c>
    </row>
    <row r="82" spans="2:12" x14ac:dyDescent="0.2">
      <c r="B82">
        <v>5</v>
      </c>
      <c r="C82">
        <v>6</v>
      </c>
      <c r="D82">
        <v>6</v>
      </c>
      <c r="E82">
        <v>5</v>
      </c>
      <c r="F82">
        <v>4</v>
      </c>
      <c r="G82">
        <v>6</v>
      </c>
      <c r="H82">
        <v>6</v>
      </c>
      <c r="I82">
        <v>6</v>
      </c>
      <c r="J82">
        <v>4</v>
      </c>
      <c r="K82">
        <v>4</v>
      </c>
      <c r="L82">
        <v>6</v>
      </c>
    </row>
    <row r="83" spans="2:12" x14ac:dyDescent="0.2">
      <c r="B83">
        <v>6</v>
      </c>
      <c r="C83">
        <v>8</v>
      </c>
      <c r="D83">
        <v>8</v>
      </c>
      <c r="E83">
        <v>7</v>
      </c>
      <c r="F83">
        <v>7</v>
      </c>
      <c r="G83">
        <v>5</v>
      </c>
      <c r="H83">
        <v>6</v>
      </c>
      <c r="I83">
        <v>8</v>
      </c>
      <c r="J83">
        <v>8</v>
      </c>
      <c r="K83">
        <v>8</v>
      </c>
      <c r="L83">
        <v>7</v>
      </c>
    </row>
    <row r="84" spans="2:12" x14ac:dyDescent="0.2">
      <c r="B84">
        <v>7</v>
      </c>
      <c r="C84">
        <v>12</v>
      </c>
      <c r="D84">
        <v>12</v>
      </c>
      <c r="E84">
        <v>11</v>
      </c>
      <c r="F84">
        <v>11</v>
      </c>
      <c r="G84">
        <v>11</v>
      </c>
      <c r="H84">
        <v>8</v>
      </c>
      <c r="I84">
        <v>8</v>
      </c>
      <c r="J84">
        <v>11</v>
      </c>
      <c r="K84">
        <v>11</v>
      </c>
      <c r="L84">
        <v>10</v>
      </c>
    </row>
    <row r="85" spans="2:12" x14ac:dyDescent="0.2">
      <c r="B85">
        <v>8</v>
      </c>
      <c r="C85">
        <v>7</v>
      </c>
      <c r="D85">
        <v>4</v>
      </c>
      <c r="E85">
        <v>7</v>
      </c>
      <c r="F85">
        <v>5</v>
      </c>
      <c r="G85">
        <v>1</v>
      </c>
      <c r="H85">
        <v>4</v>
      </c>
      <c r="I85">
        <v>5</v>
      </c>
      <c r="J85">
        <v>6</v>
      </c>
      <c r="K85">
        <v>6</v>
      </c>
      <c r="L85">
        <v>4</v>
      </c>
    </row>
    <row r="86" spans="2:12" x14ac:dyDescent="0.2">
      <c r="B86">
        <v>9</v>
      </c>
      <c r="C86">
        <v>6</v>
      </c>
      <c r="D86">
        <v>6</v>
      </c>
      <c r="E86">
        <v>6</v>
      </c>
      <c r="F86">
        <v>3</v>
      </c>
      <c r="G86">
        <v>1</v>
      </c>
      <c r="H86">
        <v>3</v>
      </c>
      <c r="I86">
        <v>4</v>
      </c>
      <c r="J86">
        <v>5</v>
      </c>
      <c r="K86">
        <v>6</v>
      </c>
      <c r="L86">
        <v>6</v>
      </c>
    </row>
    <row r="87" spans="2:12" x14ac:dyDescent="0.2">
      <c r="B87">
        <v>10</v>
      </c>
      <c r="C87">
        <v>10</v>
      </c>
      <c r="D87">
        <v>10</v>
      </c>
      <c r="E87">
        <v>8</v>
      </c>
      <c r="F87">
        <v>8</v>
      </c>
      <c r="G87">
        <v>10</v>
      </c>
      <c r="H87">
        <v>4</v>
      </c>
      <c r="I87">
        <v>7</v>
      </c>
      <c r="J87">
        <v>4</v>
      </c>
      <c r="K87">
        <v>10</v>
      </c>
      <c r="L87">
        <v>3</v>
      </c>
    </row>
    <row r="88" spans="2:12" x14ac:dyDescent="0.2">
      <c r="B88">
        <v>11</v>
      </c>
      <c r="C88">
        <v>7</v>
      </c>
      <c r="D88">
        <v>7</v>
      </c>
      <c r="E88">
        <v>7</v>
      </c>
      <c r="F88">
        <v>7</v>
      </c>
      <c r="G88">
        <v>7</v>
      </c>
      <c r="H88">
        <v>4</v>
      </c>
      <c r="I88">
        <v>4</v>
      </c>
      <c r="J88">
        <v>7</v>
      </c>
      <c r="K88">
        <v>7</v>
      </c>
      <c r="L88">
        <v>6</v>
      </c>
    </row>
    <row r="89" spans="2:12" x14ac:dyDescent="0.2">
      <c r="B89">
        <v>12</v>
      </c>
      <c r="C89">
        <v>6</v>
      </c>
      <c r="D89">
        <v>6</v>
      </c>
      <c r="E89">
        <v>6</v>
      </c>
      <c r="F89">
        <v>6</v>
      </c>
      <c r="G89">
        <v>4</v>
      </c>
      <c r="H89">
        <v>4</v>
      </c>
      <c r="I89">
        <v>6</v>
      </c>
      <c r="J89">
        <v>4</v>
      </c>
      <c r="K89">
        <v>6</v>
      </c>
      <c r="L89">
        <v>6</v>
      </c>
    </row>
    <row r="90" spans="2:12" x14ac:dyDescent="0.2">
      <c r="B90" t="s">
        <v>26</v>
      </c>
      <c r="D90">
        <v>5</v>
      </c>
      <c r="E90">
        <v>5</v>
      </c>
      <c r="F90">
        <v>5</v>
      </c>
      <c r="G90">
        <v>5</v>
      </c>
      <c r="H90">
        <v>5</v>
      </c>
      <c r="I90">
        <v>5</v>
      </c>
      <c r="J90">
        <v>5</v>
      </c>
      <c r="K90">
        <v>5</v>
      </c>
      <c r="L90">
        <v>5</v>
      </c>
    </row>
    <row r="91" spans="2:12" x14ac:dyDescent="0.2">
      <c r="B91" t="s">
        <v>21</v>
      </c>
      <c r="C91">
        <f>SUM(C78:C89)</f>
        <v>100</v>
      </c>
      <c r="D91">
        <f t="shared" ref="D91:L91" si="12">SUM(D78:D89)</f>
        <v>92</v>
      </c>
      <c r="E91">
        <f t="shared" si="12"/>
        <v>90</v>
      </c>
      <c r="F91">
        <f t="shared" si="12"/>
        <v>84</v>
      </c>
      <c r="G91">
        <f t="shared" si="12"/>
        <v>74</v>
      </c>
      <c r="H91">
        <f t="shared" si="12"/>
        <v>68</v>
      </c>
      <c r="I91">
        <f t="shared" si="12"/>
        <v>81</v>
      </c>
      <c r="J91">
        <f t="shared" si="12"/>
        <v>85</v>
      </c>
      <c r="K91">
        <f t="shared" si="12"/>
        <v>95</v>
      </c>
      <c r="L91">
        <f t="shared" si="12"/>
        <v>78</v>
      </c>
    </row>
    <row r="93" spans="2:12" x14ac:dyDescent="0.2">
      <c r="D93">
        <v>92</v>
      </c>
      <c r="E93">
        <v>90</v>
      </c>
      <c r="F93">
        <v>84</v>
      </c>
      <c r="G93">
        <v>74</v>
      </c>
      <c r="H93">
        <v>68</v>
      </c>
      <c r="I93">
        <v>81</v>
      </c>
      <c r="J93">
        <v>85</v>
      </c>
      <c r="K93">
        <v>95</v>
      </c>
      <c r="L93">
        <v>78</v>
      </c>
    </row>
    <row r="98" spans="3:5" x14ac:dyDescent="0.2">
      <c r="C98" t="s">
        <v>36</v>
      </c>
      <c r="D98" t="s">
        <v>37</v>
      </c>
      <c r="E98" t="s">
        <v>38</v>
      </c>
    </row>
    <row r="99" spans="3:5" x14ac:dyDescent="0.2">
      <c r="C99" t="s">
        <v>39</v>
      </c>
      <c r="D99" t="s">
        <v>40</v>
      </c>
      <c r="E99" t="s">
        <v>41</v>
      </c>
    </row>
    <row r="100" spans="3:5" x14ac:dyDescent="0.2">
      <c r="C100" t="s">
        <v>45</v>
      </c>
      <c r="D100" t="s">
        <v>46</v>
      </c>
      <c r="E100" t="s">
        <v>47</v>
      </c>
    </row>
    <row r="101" spans="3:5" x14ac:dyDescent="0.2">
      <c r="C101" t="s">
        <v>51</v>
      </c>
      <c r="D101" t="s">
        <v>52</v>
      </c>
      <c r="E101" t="s">
        <v>53</v>
      </c>
    </row>
    <row r="102" spans="3:5" x14ac:dyDescent="0.2">
      <c r="C102" t="s">
        <v>54</v>
      </c>
      <c r="D102" t="s">
        <v>55</v>
      </c>
      <c r="E102" t="s">
        <v>56</v>
      </c>
    </row>
    <row r="103" spans="3:5" x14ac:dyDescent="0.2">
      <c r="C103" t="s">
        <v>63</v>
      </c>
      <c r="D103" t="s">
        <v>64</v>
      </c>
      <c r="E103" t="s">
        <v>65</v>
      </c>
    </row>
    <row r="104" spans="3:5" x14ac:dyDescent="0.2">
      <c r="C104" t="s">
        <v>77</v>
      </c>
      <c r="D104" t="s">
        <v>78</v>
      </c>
      <c r="E104" t="s">
        <v>79</v>
      </c>
    </row>
    <row r="105" spans="3:5" x14ac:dyDescent="0.2">
      <c r="C105" t="s">
        <v>80</v>
      </c>
      <c r="D105" t="s">
        <v>81</v>
      </c>
      <c r="E105" t="s">
        <v>82</v>
      </c>
    </row>
    <row r="106" spans="3:5" x14ac:dyDescent="0.2">
      <c r="C106" t="s">
        <v>83</v>
      </c>
      <c r="D106" t="s">
        <v>84</v>
      </c>
      <c r="E106" t="s">
        <v>85</v>
      </c>
    </row>
    <row r="107" spans="3:5" x14ac:dyDescent="0.2">
      <c r="C107" t="s">
        <v>33</v>
      </c>
      <c r="D107" t="s">
        <v>86</v>
      </c>
      <c r="E107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2026-09-02T14:19:12Z</dcterms:modified>
</cp:coreProperties>
</file>