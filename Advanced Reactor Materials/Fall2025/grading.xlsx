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Advanced Reactor Materials/Fall2025/"/>
    </mc:Choice>
  </mc:AlternateContent>
  <xr:revisionPtr revIDLastSave="0" documentId="13_ncr:1_{09AAEAEB-14BE-294E-8235-E882699900CE}" xr6:coauthVersionLast="47" xr6:coauthVersionMax="47" xr10:uidLastSave="{00000000-0000-0000-0000-000000000000}"/>
  <bookViews>
    <workbookView xWindow="3100" yWindow="382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1" l="1"/>
  <c r="G81" i="1"/>
  <c r="L81" i="1"/>
  <c r="K81" i="1"/>
  <c r="J81" i="1"/>
  <c r="I81" i="1"/>
  <c r="H81" i="1"/>
  <c r="F81" i="1"/>
  <c r="E81" i="1"/>
  <c r="D81" i="1"/>
  <c r="E19" i="1"/>
  <c r="E18" i="1"/>
  <c r="E21" i="1" s="1"/>
  <c r="G18" i="1"/>
  <c r="G21" i="1" s="1"/>
  <c r="G19" i="1"/>
  <c r="K6" i="1"/>
  <c r="C65" i="1"/>
  <c r="D65" i="1"/>
  <c r="E65" i="1"/>
  <c r="F65" i="1"/>
  <c r="G65" i="1"/>
  <c r="H65" i="1"/>
  <c r="I65" i="1"/>
  <c r="J65" i="1"/>
  <c r="K65" i="1"/>
  <c r="L65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L6" i="1"/>
  <c r="M6" i="1"/>
  <c r="D18" i="1"/>
  <c r="D21" i="1" s="1"/>
  <c r="F18" i="1"/>
  <c r="F21" i="1" s="1"/>
  <c r="C18" i="1"/>
  <c r="C21" i="1" s="1"/>
  <c r="N6" i="1" l="1"/>
  <c r="O6" i="1" s="1"/>
  <c r="N15" i="1"/>
  <c r="O15" i="1" s="1"/>
  <c r="N8" i="1"/>
  <c r="O8" i="1" s="1"/>
  <c r="N9" i="1"/>
  <c r="O9" i="1" s="1"/>
  <c r="N12" i="1"/>
  <c r="O12" i="1" s="1"/>
  <c r="N10" i="1"/>
  <c r="O10" i="1" s="1"/>
  <c r="N11" i="1"/>
  <c r="O11" i="1" s="1"/>
  <c r="N16" i="1"/>
  <c r="O16" i="1" s="1"/>
  <c r="N7" i="1"/>
  <c r="O7" i="1" s="1"/>
  <c r="O18" i="1" l="1"/>
  <c r="O19" i="1"/>
</calcChain>
</file>

<file path=xl/sharedStrings.xml><?xml version="1.0" encoding="utf-8"?>
<sst xmlns="http://schemas.openxmlformats.org/spreadsheetml/2006/main" count="80" uniqueCount="27">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</sst>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O81"/>
  <sheetViews>
    <sheetView tabSelected="1" topLeftCell="A54" workbookViewId="0">
      <selection activeCell="E70" sqref="E70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5" x14ac:dyDescent="0.2">
      <c r="C2" t="s">
        <v>18</v>
      </c>
    </row>
    <row r="3" spans="2:15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5" x14ac:dyDescent="0.2">
      <c r="I4" t="s">
        <v>19</v>
      </c>
    </row>
    <row r="5" spans="2:15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</row>
    <row r="6" spans="2:15" x14ac:dyDescent="0.2">
      <c r="B6" t="s">
        <v>1</v>
      </c>
      <c r="C6">
        <v>95</v>
      </c>
      <c r="D6">
        <v>93</v>
      </c>
      <c r="E6">
        <v>95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>(E6+E$20)*E$3</f>
        <v>20</v>
      </c>
      <c r="L6">
        <f t="shared" si="0"/>
        <v>0</v>
      </c>
      <c r="M6">
        <f t="shared" si="0"/>
        <v>20</v>
      </c>
      <c r="N6">
        <f>SUM(I6:M6)</f>
        <v>79</v>
      </c>
      <c r="O6" s="2">
        <f>N6/80</f>
        <v>0.98750000000000004</v>
      </c>
    </row>
    <row r="7" spans="2:15" x14ac:dyDescent="0.2">
      <c r="B7" t="s">
        <v>2</v>
      </c>
      <c r="C7">
        <v>94</v>
      </c>
      <c r="D7">
        <v>91</v>
      </c>
      <c r="E7">
        <v>89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18.8</v>
      </c>
      <c r="L7">
        <f t="shared" si="0"/>
        <v>0</v>
      </c>
      <c r="M7">
        <f t="shared" si="0"/>
        <v>19</v>
      </c>
      <c r="N7">
        <f t="shared" ref="N7:N16" si="1">SUM(I7:M7)</f>
        <v>76.2</v>
      </c>
      <c r="O7" s="2">
        <f t="shared" ref="O7:O12" si="2">N7/80</f>
        <v>0.95250000000000001</v>
      </c>
    </row>
    <row r="8" spans="2:15" x14ac:dyDescent="0.2">
      <c r="B8" t="s">
        <v>20</v>
      </c>
      <c r="C8">
        <v>89</v>
      </c>
      <c r="D8">
        <v>93</v>
      </c>
      <c r="E8">
        <v>90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19</v>
      </c>
      <c r="L8">
        <f t="shared" si="0"/>
        <v>0</v>
      </c>
      <c r="M8">
        <f t="shared" si="0"/>
        <v>19.200000000000003</v>
      </c>
      <c r="N8">
        <f t="shared" ref="N8" si="3">SUM(I8:M8)</f>
        <v>76</v>
      </c>
      <c r="O8" s="2">
        <f t="shared" si="2"/>
        <v>0.95</v>
      </c>
    </row>
    <row r="9" spans="2:15" x14ac:dyDescent="0.2">
      <c r="B9" t="s">
        <v>5</v>
      </c>
      <c r="C9">
        <v>84</v>
      </c>
      <c r="D9">
        <v>68</v>
      </c>
      <c r="E9">
        <v>83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17.600000000000001</v>
      </c>
      <c r="L9">
        <f t="shared" si="0"/>
        <v>0</v>
      </c>
      <c r="M9">
        <f t="shared" si="0"/>
        <v>19.200000000000003</v>
      </c>
      <c r="N9">
        <f t="shared" si="1"/>
        <v>68.600000000000009</v>
      </c>
      <c r="O9" s="2">
        <f t="shared" si="2"/>
        <v>0.85750000000000015</v>
      </c>
    </row>
    <row r="10" spans="2:15" x14ac:dyDescent="0.2">
      <c r="B10" t="s">
        <v>6</v>
      </c>
      <c r="C10">
        <v>74</v>
      </c>
      <c r="D10">
        <v>73</v>
      </c>
      <c r="E10">
        <v>77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16.400000000000002</v>
      </c>
      <c r="L10">
        <f t="shared" si="0"/>
        <v>0</v>
      </c>
      <c r="M10">
        <f t="shared" si="0"/>
        <v>18.600000000000001</v>
      </c>
      <c r="N10">
        <f t="shared" si="1"/>
        <v>65.800000000000011</v>
      </c>
      <c r="O10" s="2">
        <f t="shared" si="2"/>
        <v>0.82250000000000012</v>
      </c>
    </row>
    <row r="11" spans="2:15" x14ac:dyDescent="0.2">
      <c r="B11" t="s">
        <v>8</v>
      </c>
      <c r="C11">
        <v>90</v>
      </c>
      <c r="D11">
        <v>88</v>
      </c>
      <c r="E11">
        <v>83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17.600000000000001</v>
      </c>
      <c r="L11">
        <f t="shared" si="0"/>
        <v>0</v>
      </c>
      <c r="M11">
        <f t="shared" si="0"/>
        <v>19.200000000000003</v>
      </c>
      <c r="N11">
        <f t="shared" si="1"/>
        <v>73.800000000000011</v>
      </c>
      <c r="O11" s="2">
        <f t="shared" si="2"/>
        <v>0.9225000000000001</v>
      </c>
    </row>
    <row r="12" spans="2:15" x14ac:dyDescent="0.2">
      <c r="B12" t="s">
        <v>9</v>
      </c>
      <c r="C12">
        <v>91</v>
      </c>
      <c r="D12">
        <v>97</v>
      </c>
      <c r="E12">
        <v>84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17.8</v>
      </c>
      <c r="L12">
        <f t="shared" si="0"/>
        <v>0</v>
      </c>
      <c r="M12">
        <f t="shared" si="0"/>
        <v>19.600000000000001</v>
      </c>
      <c r="N12">
        <f t="shared" si="1"/>
        <v>76.400000000000006</v>
      </c>
      <c r="O12" s="2">
        <f t="shared" si="2"/>
        <v>0.95500000000000007</v>
      </c>
    </row>
    <row r="13" spans="2:15" x14ac:dyDescent="0.2">
      <c r="O13" s="2"/>
    </row>
    <row r="14" spans="2:15" x14ac:dyDescent="0.2">
      <c r="B14" t="s">
        <v>3</v>
      </c>
      <c r="O14" s="2"/>
    </row>
    <row r="15" spans="2:15" x14ac:dyDescent="0.2">
      <c r="B15" t="s">
        <v>4</v>
      </c>
      <c r="C15">
        <v>97</v>
      </c>
      <c r="D15">
        <v>97</v>
      </c>
      <c r="E15">
        <v>94</v>
      </c>
      <c r="G15">
        <v>96</v>
      </c>
      <c r="I15">
        <f t="shared" ref="I15:M16" si="4">(C15+C$20)*C$3</f>
        <v>19.8</v>
      </c>
      <c r="J15">
        <f t="shared" si="4"/>
        <v>20.400000000000002</v>
      </c>
      <c r="K15">
        <f t="shared" si="4"/>
        <v>19.8</v>
      </c>
      <c r="L15">
        <f t="shared" si="4"/>
        <v>0</v>
      </c>
      <c r="M15">
        <f t="shared" si="4"/>
        <v>19.200000000000003</v>
      </c>
      <c r="N15">
        <f>SUM(I15:M15)</f>
        <v>79.2</v>
      </c>
      <c r="O15" s="2">
        <f>N15/80</f>
        <v>0.99</v>
      </c>
    </row>
    <row r="16" spans="2:15" x14ac:dyDescent="0.2">
      <c r="B16" t="s">
        <v>7</v>
      </c>
      <c r="C16">
        <v>83</v>
      </c>
      <c r="D16">
        <v>79</v>
      </c>
      <c r="E16">
        <v>85</v>
      </c>
      <c r="G16">
        <v>96</v>
      </c>
      <c r="I16">
        <f t="shared" si="4"/>
        <v>17</v>
      </c>
      <c r="J16">
        <f t="shared" si="4"/>
        <v>16.8</v>
      </c>
      <c r="K16">
        <f t="shared" si="4"/>
        <v>18</v>
      </c>
      <c r="L16">
        <f t="shared" si="4"/>
        <v>0</v>
      </c>
      <c r="M16">
        <f t="shared" si="4"/>
        <v>19.200000000000003</v>
      </c>
      <c r="N16">
        <f t="shared" si="1"/>
        <v>71</v>
      </c>
      <c r="O16" s="2">
        <f t="shared" ref="O16" si="5">N16/80</f>
        <v>0.88749999999999996</v>
      </c>
    </row>
    <row r="18" spans="2:15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>
        <f>AVERAGE(E6:E16)</f>
        <v>86.666666666666671</v>
      </c>
      <c r="F18" s="1" t="e">
        <f>AVERAGE(F6:F16)</f>
        <v>#DIV/0!</v>
      </c>
      <c r="G18" s="1">
        <f>AVERAGE(G6:G16)</f>
        <v>96.222222222222229</v>
      </c>
      <c r="N18" t="s">
        <v>24</v>
      </c>
      <c r="O18" s="2">
        <f>AVERAGE(O6:O16)</f>
        <v>0.92499999999999993</v>
      </c>
    </row>
    <row r="19" spans="2:15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>
        <f>STDEV(E6:E16)</f>
        <v>5.8094750193111251</v>
      </c>
      <c r="F19" s="1"/>
      <c r="G19" s="1">
        <f>STDEV(G6:G16)</f>
        <v>1.922093765778466</v>
      </c>
      <c r="N19" t="s">
        <v>25</v>
      </c>
      <c r="O19" s="2">
        <f>STDEV(O6:O16)</f>
        <v>5.7973593126526113E-2</v>
      </c>
    </row>
    <row r="20" spans="2:15" x14ac:dyDescent="0.2">
      <c r="B20" t="s">
        <v>16</v>
      </c>
      <c r="C20">
        <v>2</v>
      </c>
      <c r="D20">
        <v>5</v>
      </c>
      <c r="E20">
        <v>5</v>
      </c>
    </row>
    <row r="21" spans="2:15" x14ac:dyDescent="0.2">
      <c r="B21" t="s">
        <v>17</v>
      </c>
      <c r="C21" s="1">
        <f>C18+C20</f>
        <v>90.555555555555557</v>
      </c>
      <c r="D21" s="1">
        <f>D18+D20</f>
        <v>91.555555555555557</v>
      </c>
      <c r="E21" s="1">
        <f t="shared" ref="E21:G21" si="6">E18+E20</f>
        <v>91.666666666666671</v>
      </c>
      <c r="F21" s="1" t="e">
        <f t="shared" si="6"/>
        <v>#DIV/0!</v>
      </c>
      <c r="G21" s="1">
        <f t="shared" si="6"/>
        <v>96.222222222222229</v>
      </c>
    </row>
    <row r="26" spans="2:15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5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5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5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5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5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5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  <row r="52" spans="2:12" x14ac:dyDescent="0.2">
      <c r="B52" t="s">
        <v>12</v>
      </c>
      <c r="C52" t="s">
        <v>18</v>
      </c>
      <c r="D52" t="s">
        <v>1</v>
      </c>
      <c r="E52" t="s">
        <v>2</v>
      </c>
      <c r="F52" t="s">
        <v>20</v>
      </c>
      <c r="G52" t="s">
        <v>5</v>
      </c>
      <c r="H52" t="s">
        <v>6</v>
      </c>
      <c r="I52" t="s">
        <v>8</v>
      </c>
      <c r="J52" t="s">
        <v>9</v>
      </c>
      <c r="K52" t="s">
        <v>4</v>
      </c>
      <c r="L52" t="s">
        <v>7</v>
      </c>
    </row>
    <row r="53" spans="2:12" x14ac:dyDescent="0.2">
      <c r="B53">
        <v>1</v>
      </c>
      <c r="C53">
        <v>6</v>
      </c>
      <c r="D53">
        <v>6</v>
      </c>
      <c r="E53">
        <v>6</v>
      </c>
      <c r="F53">
        <v>6</v>
      </c>
      <c r="G53">
        <v>6</v>
      </c>
      <c r="H53">
        <v>6</v>
      </c>
      <c r="I53">
        <v>6</v>
      </c>
      <c r="J53">
        <v>6</v>
      </c>
      <c r="K53">
        <v>6</v>
      </c>
      <c r="L53">
        <v>6</v>
      </c>
    </row>
    <row r="54" spans="2:12" x14ac:dyDescent="0.2">
      <c r="B54">
        <v>2</v>
      </c>
      <c r="C54">
        <v>6</v>
      </c>
      <c r="D54">
        <v>6</v>
      </c>
      <c r="E54">
        <v>6</v>
      </c>
      <c r="F54">
        <v>6</v>
      </c>
      <c r="G54">
        <v>2</v>
      </c>
      <c r="H54">
        <v>2</v>
      </c>
      <c r="I54">
        <v>6</v>
      </c>
      <c r="J54">
        <v>4</v>
      </c>
      <c r="K54">
        <v>6</v>
      </c>
      <c r="L54">
        <v>4</v>
      </c>
    </row>
    <row r="55" spans="2:12" x14ac:dyDescent="0.2">
      <c r="B55">
        <v>3</v>
      </c>
      <c r="C55">
        <v>6</v>
      </c>
      <c r="D55">
        <v>4</v>
      </c>
      <c r="E55">
        <v>4</v>
      </c>
      <c r="F55">
        <v>3</v>
      </c>
      <c r="G55">
        <v>2</v>
      </c>
      <c r="H55">
        <v>2</v>
      </c>
      <c r="I55">
        <v>6</v>
      </c>
      <c r="J55">
        <v>4</v>
      </c>
      <c r="K55">
        <v>6</v>
      </c>
      <c r="L55">
        <v>6</v>
      </c>
    </row>
    <row r="56" spans="2:12" x14ac:dyDescent="0.2">
      <c r="B56">
        <v>4</v>
      </c>
      <c r="C56">
        <v>6</v>
      </c>
      <c r="D56">
        <v>6</v>
      </c>
      <c r="E56">
        <v>6</v>
      </c>
      <c r="F56">
        <v>5</v>
      </c>
      <c r="G56">
        <v>6</v>
      </c>
      <c r="H56">
        <v>5</v>
      </c>
      <c r="I56">
        <v>6</v>
      </c>
      <c r="J56">
        <v>5</v>
      </c>
      <c r="K56">
        <v>6</v>
      </c>
      <c r="L56">
        <v>5</v>
      </c>
    </row>
    <row r="57" spans="2:12" x14ac:dyDescent="0.2">
      <c r="B57">
        <v>5</v>
      </c>
      <c r="C57">
        <v>16</v>
      </c>
      <c r="D57">
        <v>15</v>
      </c>
      <c r="E57">
        <v>10</v>
      </c>
      <c r="F57">
        <v>13</v>
      </c>
      <c r="G57">
        <v>11</v>
      </c>
      <c r="H57">
        <v>13</v>
      </c>
      <c r="I57">
        <v>11</v>
      </c>
      <c r="J57">
        <v>16</v>
      </c>
      <c r="K57">
        <v>14</v>
      </c>
      <c r="L57">
        <v>11</v>
      </c>
    </row>
    <row r="58" spans="2:12" x14ac:dyDescent="0.2">
      <c r="B58">
        <v>6</v>
      </c>
      <c r="C58">
        <v>6</v>
      </c>
      <c r="D58">
        <v>6</v>
      </c>
      <c r="E58">
        <v>6</v>
      </c>
      <c r="F58">
        <v>6</v>
      </c>
      <c r="G58">
        <v>6</v>
      </c>
      <c r="H58">
        <v>6</v>
      </c>
      <c r="I58">
        <v>6</v>
      </c>
      <c r="J58">
        <v>6</v>
      </c>
      <c r="K58">
        <v>6</v>
      </c>
      <c r="L58">
        <v>6</v>
      </c>
    </row>
    <row r="59" spans="2:12" x14ac:dyDescent="0.2">
      <c r="B59">
        <v>7</v>
      </c>
      <c r="C59">
        <v>12</v>
      </c>
      <c r="D59">
        <v>12</v>
      </c>
      <c r="E59">
        <v>10</v>
      </c>
      <c r="F59">
        <v>12</v>
      </c>
      <c r="G59">
        <v>12</v>
      </c>
      <c r="H59">
        <v>6</v>
      </c>
      <c r="I59">
        <v>8</v>
      </c>
      <c r="J59">
        <v>10</v>
      </c>
      <c r="K59">
        <v>10</v>
      </c>
      <c r="L59">
        <v>9</v>
      </c>
    </row>
    <row r="60" spans="2:12" x14ac:dyDescent="0.2">
      <c r="B60">
        <v>8</v>
      </c>
      <c r="C60">
        <v>8</v>
      </c>
      <c r="D60">
        <v>8</v>
      </c>
      <c r="E60">
        <v>8</v>
      </c>
      <c r="F60">
        <v>8</v>
      </c>
      <c r="G60">
        <v>8</v>
      </c>
      <c r="H60">
        <v>7</v>
      </c>
      <c r="I60">
        <v>8</v>
      </c>
      <c r="J60">
        <v>6</v>
      </c>
      <c r="K60">
        <v>8</v>
      </c>
      <c r="L60">
        <v>8</v>
      </c>
    </row>
    <row r="61" spans="2:12" x14ac:dyDescent="0.2">
      <c r="B61">
        <v>9</v>
      </c>
      <c r="C61">
        <v>10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5</v>
      </c>
      <c r="J61">
        <v>5</v>
      </c>
      <c r="K61">
        <v>10</v>
      </c>
      <c r="L61">
        <v>10</v>
      </c>
    </row>
    <row r="62" spans="2:12" x14ac:dyDescent="0.2">
      <c r="B62">
        <v>10</v>
      </c>
      <c r="C62">
        <v>10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</row>
    <row r="63" spans="2:12" x14ac:dyDescent="0.2">
      <c r="B63">
        <v>11</v>
      </c>
      <c r="C63">
        <v>6</v>
      </c>
      <c r="D63">
        <v>6</v>
      </c>
      <c r="E63">
        <v>6</v>
      </c>
      <c r="F63">
        <v>4</v>
      </c>
      <c r="G63">
        <v>4</v>
      </c>
      <c r="H63">
        <v>5</v>
      </c>
      <c r="I63">
        <v>6</v>
      </c>
      <c r="J63">
        <v>5</v>
      </c>
      <c r="K63">
        <v>4</v>
      </c>
      <c r="L63">
        <v>4</v>
      </c>
    </row>
    <row r="64" spans="2:12" x14ac:dyDescent="0.2">
      <c r="B64">
        <v>12</v>
      </c>
      <c r="C64">
        <v>8</v>
      </c>
      <c r="D64">
        <v>6</v>
      </c>
      <c r="E64">
        <v>7</v>
      </c>
      <c r="F64">
        <v>7</v>
      </c>
      <c r="G64">
        <v>6</v>
      </c>
      <c r="H64">
        <v>5</v>
      </c>
      <c r="I64">
        <v>5</v>
      </c>
      <c r="J64">
        <v>7</v>
      </c>
      <c r="K64">
        <v>8</v>
      </c>
      <c r="L64">
        <v>6</v>
      </c>
    </row>
    <row r="65" spans="2:12" x14ac:dyDescent="0.2">
      <c r="B65" t="s">
        <v>21</v>
      </c>
      <c r="C65">
        <f>SUM(C53:C64)</f>
        <v>100</v>
      </c>
      <c r="D65">
        <f t="shared" ref="D65:L65" si="9">SUM(D53:D64)</f>
        <v>95</v>
      </c>
      <c r="E65">
        <f t="shared" si="9"/>
        <v>89</v>
      </c>
      <c r="F65">
        <f t="shared" si="9"/>
        <v>90</v>
      </c>
      <c r="G65">
        <f t="shared" si="9"/>
        <v>83</v>
      </c>
      <c r="H65">
        <f t="shared" si="9"/>
        <v>77</v>
      </c>
      <c r="I65">
        <f t="shared" si="9"/>
        <v>83</v>
      </c>
      <c r="J65">
        <f t="shared" si="9"/>
        <v>84</v>
      </c>
      <c r="K65">
        <f t="shared" si="9"/>
        <v>94</v>
      </c>
      <c r="L65">
        <f t="shared" si="9"/>
        <v>85</v>
      </c>
    </row>
    <row r="67" spans="2:12" x14ac:dyDescent="0.2">
      <c r="B67" t="s">
        <v>13</v>
      </c>
      <c r="C67" t="s">
        <v>18</v>
      </c>
      <c r="D67" t="s">
        <v>1</v>
      </c>
      <c r="E67" t="s">
        <v>2</v>
      </c>
      <c r="F67" t="s">
        <v>20</v>
      </c>
      <c r="G67" t="s">
        <v>5</v>
      </c>
      <c r="H67" t="s">
        <v>6</v>
      </c>
      <c r="I67" t="s">
        <v>8</v>
      </c>
      <c r="J67" t="s">
        <v>9</v>
      </c>
      <c r="K67" t="s">
        <v>4</v>
      </c>
      <c r="L67" t="s">
        <v>7</v>
      </c>
    </row>
    <row r="68" spans="2:12" x14ac:dyDescent="0.2">
      <c r="B68">
        <v>1</v>
      </c>
      <c r="C68">
        <v>10</v>
      </c>
    </row>
    <row r="69" spans="2:12" x14ac:dyDescent="0.2">
      <c r="B69">
        <v>2</v>
      </c>
      <c r="C69">
        <v>10</v>
      </c>
    </row>
    <row r="70" spans="2:12" x14ac:dyDescent="0.2">
      <c r="B70">
        <v>3</v>
      </c>
      <c r="C70">
        <v>10</v>
      </c>
    </row>
    <row r="71" spans="2:12" x14ac:dyDescent="0.2">
      <c r="B71">
        <v>4</v>
      </c>
      <c r="C71">
        <v>8</v>
      </c>
    </row>
    <row r="72" spans="2:12" x14ac:dyDescent="0.2">
      <c r="B72">
        <v>5</v>
      </c>
      <c r="C72">
        <v>6</v>
      </c>
    </row>
    <row r="73" spans="2:12" x14ac:dyDescent="0.2">
      <c r="B73">
        <v>6</v>
      </c>
      <c r="C73">
        <v>8</v>
      </c>
    </row>
    <row r="74" spans="2:12" x14ac:dyDescent="0.2">
      <c r="B74">
        <v>7</v>
      </c>
      <c r="C74">
        <v>12</v>
      </c>
    </row>
    <row r="75" spans="2:12" x14ac:dyDescent="0.2">
      <c r="B75">
        <v>8</v>
      </c>
      <c r="C75">
        <v>7</v>
      </c>
    </row>
    <row r="76" spans="2:12" x14ac:dyDescent="0.2">
      <c r="B76">
        <v>9</v>
      </c>
      <c r="C76">
        <v>6</v>
      </c>
    </row>
    <row r="77" spans="2:12" x14ac:dyDescent="0.2">
      <c r="B77">
        <v>10</v>
      </c>
      <c r="C77">
        <v>10</v>
      </c>
    </row>
    <row r="78" spans="2:12" x14ac:dyDescent="0.2">
      <c r="B78">
        <v>11</v>
      </c>
      <c r="C78">
        <v>7</v>
      </c>
    </row>
    <row r="79" spans="2:12" x14ac:dyDescent="0.2">
      <c r="B79">
        <v>12</v>
      </c>
      <c r="C79">
        <v>6</v>
      </c>
    </row>
    <row r="80" spans="2:12" x14ac:dyDescent="0.2">
      <c r="B80" t="s">
        <v>26</v>
      </c>
      <c r="F80">
        <v>5</v>
      </c>
      <c r="G80">
        <v>5</v>
      </c>
      <c r="H80">
        <v>5</v>
      </c>
      <c r="I80">
        <v>5</v>
      </c>
      <c r="K80">
        <v>5</v>
      </c>
      <c r="L80">
        <v>5</v>
      </c>
    </row>
    <row r="81" spans="2:12" x14ac:dyDescent="0.2">
      <c r="B81" t="s">
        <v>21</v>
      </c>
      <c r="C81">
        <f>SUM(C68:C79)</f>
        <v>100</v>
      </c>
      <c r="D81">
        <f t="shared" ref="D81:L81" si="10">SUM(D68:D79)</f>
        <v>0</v>
      </c>
      <c r="E81">
        <f t="shared" si="10"/>
        <v>0</v>
      </c>
      <c r="F81">
        <f t="shared" si="10"/>
        <v>0</v>
      </c>
      <c r="G81">
        <f>SUM(G68:G80)</f>
        <v>5</v>
      </c>
      <c r="H81">
        <f t="shared" si="10"/>
        <v>0</v>
      </c>
      <c r="I81">
        <f t="shared" si="10"/>
        <v>0</v>
      </c>
      <c r="J81">
        <f t="shared" si="10"/>
        <v>0</v>
      </c>
      <c r="K81">
        <f t="shared" si="10"/>
        <v>0</v>
      </c>
      <c r="L81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2025-08-19T19:34:47Z</dcterms:created>
  <dcterms:modified xsi:type="dcterms:W3CDTF">2025-12-01T22:23:24Z</dcterms:modified>
</cp:coreProperties>
</file>