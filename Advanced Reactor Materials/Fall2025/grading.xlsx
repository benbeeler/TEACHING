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Advanced Reactor Materials/Fall2025/"/>
    </mc:Choice>
  </mc:AlternateContent>
  <xr:revisionPtr revIDLastSave="0" documentId="13_ncr:1_{50714F41-EAB6-064B-B44A-CD9B3F78579F}" xr6:coauthVersionLast="47" xr6:coauthVersionMax="47" xr10:uidLastSave="{00000000-0000-0000-0000-000000000000}"/>
  <bookViews>
    <workbookView xWindow="16040" yWindow="380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O18" i="1"/>
  <c r="M15" i="1"/>
  <c r="L9" i="1"/>
  <c r="L12" i="1"/>
  <c r="L16" i="1"/>
  <c r="L15" i="1"/>
  <c r="M16" i="1"/>
  <c r="O7" i="1"/>
  <c r="O8" i="1"/>
  <c r="O9" i="1"/>
  <c r="O10" i="1"/>
  <c r="O11" i="1"/>
  <c r="O12" i="1"/>
  <c r="O6" i="1"/>
  <c r="L7" i="1"/>
  <c r="L8" i="1"/>
  <c r="L10" i="1"/>
  <c r="L11" i="1"/>
  <c r="L6" i="1"/>
  <c r="F22" i="1"/>
  <c r="K6" i="1"/>
  <c r="F19" i="1"/>
  <c r="D81" i="1"/>
  <c r="E81" i="1"/>
  <c r="F81" i="1"/>
  <c r="G81" i="1"/>
  <c r="H81" i="1"/>
  <c r="I81" i="1"/>
  <c r="J81" i="1"/>
  <c r="K81" i="1"/>
  <c r="L81" i="1"/>
  <c r="C81" i="1"/>
  <c r="E19" i="1" l="1"/>
  <c r="E18" i="1"/>
  <c r="E22" i="1" s="1"/>
  <c r="G18" i="1"/>
  <c r="G22" i="1" s="1"/>
  <c r="G19" i="1"/>
  <c r="C65" i="1"/>
  <c r="D65" i="1"/>
  <c r="E65" i="1"/>
  <c r="F65" i="1"/>
  <c r="G65" i="1"/>
  <c r="H65" i="1"/>
  <c r="I65" i="1"/>
  <c r="J65" i="1"/>
  <c r="K65" i="1"/>
  <c r="L65" i="1"/>
  <c r="I6" i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M8" i="1"/>
  <c r="I7" i="1"/>
  <c r="J7" i="1"/>
  <c r="K7" i="1"/>
  <c r="M7" i="1"/>
  <c r="I9" i="1"/>
  <c r="J9" i="1"/>
  <c r="K9" i="1"/>
  <c r="M9" i="1"/>
  <c r="I10" i="1"/>
  <c r="J10" i="1"/>
  <c r="K10" i="1"/>
  <c r="M10" i="1"/>
  <c r="I11" i="1"/>
  <c r="J11" i="1"/>
  <c r="K11" i="1"/>
  <c r="M11" i="1"/>
  <c r="I12" i="1"/>
  <c r="J12" i="1"/>
  <c r="K12" i="1"/>
  <c r="M12" i="1"/>
  <c r="I15" i="1"/>
  <c r="J15" i="1"/>
  <c r="K15" i="1"/>
  <c r="I16" i="1"/>
  <c r="J16" i="1"/>
  <c r="K16" i="1"/>
  <c r="M6" i="1"/>
  <c r="D18" i="1"/>
  <c r="D22" i="1" s="1"/>
  <c r="F18" i="1"/>
  <c r="C18" i="1"/>
  <c r="C22" i="1" s="1"/>
  <c r="N6" i="1" l="1"/>
  <c r="N15" i="1"/>
  <c r="O15" i="1" s="1"/>
  <c r="N8" i="1"/>
  <c r="N9" i="1"/>
  <c r="N12" i="1"/>
  <c r="N10" i="1"/>
  <c r="N11" i="1"/>
  <c r="N16" i="1"/>
  <c r="O16" i="1" s="1"/>
  <c r="N7" i="1"/>
</calcChain>
</file>

<file path=xl/sharedStrings.xml><?xml version="1.0" encoding="utf-8"?>
<sst xmlns="http://schemas.openxmlformats.org/spreadsheetml/2006/main" count="91" uniqueCount="35">
  <si>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</si>
  <si>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</si>
  <si>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</si>
  <si>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</si>
  <si>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</si>
  <si>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</si>
  <si>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</si>
  <si>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</si>
  <si>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</si>
  <si>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</si>
  <si>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</si>
  <si>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</si>
  <si>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</si>
  <si>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</si>
  <si>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</si>
  <si>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</si>
  <si>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</si>
  <si>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</si>
  <si>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</si>
  <si>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</si>
  <si>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</si>
  <si>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</si>
  <si>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</si>
  <si>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</si>
  <si>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</si>
  <si>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</si>
  <si>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survey bonus</t>
  </si>
  <si>
    <t>Survey Bonus</t>
  </si>
  <si>
    <t>Letter</t>
  </si>
  <si>
    <t>A+</t>
  </si>
  <si>
    <t>B</t>
  </si>
  <si>
    <t>B-</t>
  </si>
  <si>
    <t>A-</t>
  </si>
  <si>
    <t>A</t>
  </si>
  <si>
    <t>B+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</si>
</sst>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P83"/>
  <sheetViews>
    <sheetView tabSelected="1" workbookViewId="0">
      <selection activeCell="P9" sqref="P9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6" x14ac:dyDescent="0.2">
      <c r="C2" t="s">
        <v>18</v>
      </c>
    </row>
    <row r="3" spans="2:16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6" x14ac:dyDescent="0.2">
      <c r="I4" t="s">
        <v>19</v>
      </c>
    </row>
    <row r="5" spans="2:16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  <c r="P5" t="s">
        <v>28</v>
      </c>
    </row>
    <row r="6" spans="2:16" x14ac:dyDescent="0.2">
      <c r="B6" t="s">
        <v>1</v>
      </c>
      <c r="C6">
        <v>95</v>
      </c>
      <c r="D6">
        <v>93</v>
      </c>
      <c r="E6">
        <v>95</v>
      </c>
      <c r="F6">
        <v>92</v>
      </c>
      <c r="G6">
        <v>100</v>
      </c>
      <c r="I6">
        <f t="shared" ref="I6:M12" si="0">(C6+C$20)*C$3</f>
        <v>19.400000000000002</v>
      </c>
      <c r="J6">
        <f t="shared" si="0"/>
        <v>19.600000000000001</v>
      </c>
      <c r="K6">
        <f>(E6+E$20)*E$3</f>
        <v>20</v>
      </c>
      <c r="L6">
        <f>(F6+F$20+$F$21)*F$3</f>
        <v>20.8</v>
      </c>
      <c r="M6">
        <f t="shared" si="0"/>
        <v>20</v>
      </c>
      <c r="N6" s="3">
        <f>SUM(I6:M6)</f>
        <v>99.8</v>
      </c>
      <c r="O6" s="2">
        <f>N6/100</f>
        <v>0.998</v>
      </c>
      <c r="P6" t="s">
        <v>29</v>
      </c>
    </row>
    <row r="7" spans="2:16" x14ac:dyDescent="0.2">
      <c r="B7" t="s">
        <v>2</v>
      </c>
      <c r="C7">
        <v>94</v>
      </c>
      <c r="D7">
        <v>91</v>
      </c>
      <c r="E7">
        <v>89</v>
      </c>
      <c r="F7">
        <v>90</v>
      </c>
      <c r="G7">
        <v>95</v>
      </c>
      <c r="I7">
        <f t="shared" si="0"/>
        <v>19.200000000000003</v>
      </c>
      <c r="J7">
        <f t="shared" si="0"/>
        <v>19.200000000000003</v>
      </c>
      <c r="K7">
        <f t="shared" si="0"/>
        <v>18.8</v>
      </c>
      <c r="L7">
        <f t="shared" ref="L7:L12" si="1">(F7+F$20+$F$21)*F$3</f>
        <v>20.400000000000002</v>
      </c>
      <c r="M7">
        <f t="shared" si="0"/>
        <v>19</v>
      </c>
      <c r="N7" s="3">
        <f t="shared" ref="N7:N16" si="2">SUM(I7:M7)</f>
        <v>96.600000000000009</v>
      </c>
      <c r="O7" s="2">
        <f t="shared" ref="O7:O12" si="3">N7/100</f>
        <v>0.96600000000000008</v>
      </c>
      <c r="P7" t="s">
        <v>29</v>
      </c>
    </row>
    <row r="8" spans="2:16" x14ac:dyDescent="0.2">
      <c r="B8" t="s">
        <v>20</v>
      </c>
      <c r="C8">
        <v>89</v>
      </c>
      <c r="D8">
        <v>93</v>
      </c>
      <c r="E8">
        <v>90</v>
      </c>
      <c r="F8">
        <v>84</v>
      </c>
      <c r="G8">
        <v>96</v>
      </c>
      <c r="I8">
        <f t="shared" si="0"/>
        <v>18.2</v>
      </c>
      <c r="J8">
        <f t="shared" si="0"/>
        <v>19.600000000000001</v>
      </c>
      <c r="K8">
        <f t="shared" si="0"/>
        <v>19</v>
      </c>
      <c r="L8">
        <f t="shared" si="1"/>
        <v>19.200000000000003</v>
      </c>
      <c r="M8">
        <f t="shared" si="0"/>
        <v>19.200000000000003</v>
      </c>
      <c r="N8" s="3">
        <f t="shared" ref="N8" si="4">SUM(I8:M8)</f>
        <v>95.2</v>
      </c>
      <c r="O8" s="2">
        <f t="shared" si="3"/>
        <v>0.95200000000000007</v>
      </c>
      <c r="P8" t="s">
        <v>33</v>
      </c>
    </row>
    <row r="9" spans="2:16" x14ac:dyDescent="0.2">
      <c r="B9" t="s">
        <v>5</v>
      </c>
      <c r="C9">
        <v>84</v>
      </c>
      <c r="D9">
        <v>68</v>
      </c>
      <c r="E9">
        <v>83</v>
      </c>
      <c r="F9">
        <v>74</v>
      </c>
      <c r="G9">
        <v>96</v>
      </c>
      <c r="I9">
        <f t="shared" si="0"/>
        <v>17.2</v>
      </c>
      <c r="J9">
        <f t="shared" si="0"/>
        <v>14.600000000000001</v>
      </c>
      <c r="K9">
        <f t="shared" si="0"/>
        <v>17.600000000000001</v>
      </c>
      <c r="L9">
        <f>(F9+F$20+$F$21)*F$3</f>
        <v>17.2</v>
      </c>
      <c r="M9">
        <f t="shared" si="0"/>
        <v>19.200000000000003</v>
      </c>
      <c r="N9" s="3">
        <f t="shared" si="2"/>
        <v>85.800000000000011</v>
      </c>
      <c r="O9" s="2">
        <f t="shared" si="3"/>
        <v>0.8580000000000001</v>
      </c>
      <c r="P9" t="s">
        <v>30</v>
      </c>
    </row>
    <row r="10" spans="2:16" x14ac:dyDescent="0.2">
      <c r="B10" t="s">
        <v>6</v>
      </c>
      <c r="C10">
        <v>74</v>
      </c>
      <c r="D10">
        <v>73</v>
      </c>
      <c r="E10">
        <v>77</v>
      </c>
      <c r="F10">
        <v>68</v>
      </c>
      <c r="G10">
        <v>93</v>
      </c>
      <c r="I10">
        <f t="shared" si="0"/>
        <v>15.200000000000001</v>
      </c>
      <c r="J10">
        <f t="shared" si="0"/>
        <v>15.600000000000001</v>
      </c>
      <c r="K10">
        <f t="shared" si="0"/>
        <v>16.400000000000002</v>
      </c>
      <c r="L10">
        <f t="shared" si="1"/>
        <v>16</v>
      </c>
      <c r="M10">
        <f t="shared" si="0"/>
        <v>18.600000000000001</v>
      </c>
      <c r="N10" s="3">
        <f t="shared" si="2"/>
        <v>81.800000000000011</v>
      </c>
      <c r="O10" s="2">
        <f t="shared" si="3"/>
        <v>0.81800000000000006</v>
      </c>
      <c r="P10" t="s">
        <v>31</v>
      </c>
    </row>
    <row r="11" spans="2:16" x14ac:dyDescent="0.2">
      <c r="B11" t="s">
        <v>8</v>
      </c>
      <c r="C11">
        <v>90</v>
      </c>
      <c r="D11">
        <v>88</v>
      </c>
      <c r="E11">
        <v>83</v>
      </c>
      <c r="F11">
        <v>81</v>
      </c>
      <c r="G11">
        <v>96</v>
      </c>
      <c r="I11">
        <f t="shared" si="0"/>
        <v>18.400000000000002</v>
      </c>
      <c r="J11">
        <f t="shared" si="0"/>
        <v>18.600000000000001</v>
      </c>
      <c r="K11">
        <f t="shared" si="0"/>
        <v>17.600000000000001</v>
      </c>
      <c r="L11">
        <f t="shared" si="1"/>
        <v>18.600000000000001</v>
      </c>
      <c r="M11">
        <f t="shared" si="0"/>
        <v>19.200000000000003</v>
      </c>
      <c r="N11" s="3">
        <f t="shared" si="2"/>
        <v>92.4</v>
      </c>
      <c r="O11" s="2">
        <f t="shared" si="3"/>
        <v>0.92400000000000004</v>
      </c>
      <c r="P11" t="s">
        <v>32</v>
      </c>
    </row>
    <row r="12" spans="2:16" x14ac:dyDescent="0.2">
      <c r="B12" t="s">
        <v>9</v>
      </c>
      <c r="C12">
        <v>91</v>
      </c>
      <c r="D12">
        <v>97</v>
      </c>
      <c r="E12">
        <v>84</v>
      </c>
      <c r="F12">
        <v>85</v>
      </c>
      <c r="G12">
        <v>98</v>
      </c>
      <c r="I12">
        <f t="shared" si="0"/>
        <v>18.600000000000001</v>
      </c>
      <c r="J12">
        <f t="shared" si="0"/>
        <v>20.400000000000002</v>
      </c>
      <c r="K12">
        <f t="shared" si="0"/>
        <v>17.8</v>
      </c>
      <c r="L12">
        <f>(F12+F$20+$F$21)*F$3</f>
        <v>19.400000000000002</v>
      </c>
      <c r="M12">
        <f t="shared" si="0"/>
        <v>19.600000000000001</v>
      </c>
      <c r="N12" s="3">
        <f t="shared" si="2"/>
        <v>95.800000000000011</v>
      </c>
      <c r="O12" s="2">
        <f t="shared" si="3"/>
        <v>0.95800000000000007</v>
      </c>
      <c r="P12" t="s">
        <v>33</v>
      </c>
    </row>
    <row r="13" spans="2:16" x14ac:dyDescent="0.2">
      <c r="N13" s="3"/>
      <c r="O13" s="2"/>
    </row>
    <row r="14" spans="2:16" x14ac:dyDescent="0.2">
      <c r="B14" t="s">
        <v>3</v>
      </c>
      <c r="N14" s="3"/>
      <c r="O14" s="2"/>
    </row>
    <row r="15" spans="2:16" x14ac:dyDescent="0.2">
      <c r="B15" t="s">
        <v>4</v>
      </c>
      <c r="C15">
        <v>97</v>
      </c>
      <c r="D15">
        <v>97</v>
      </c>
      <c r="E15">
        <v>94</v>
      </c>
      <c r="F15">
        <v>95</v>
      </c>
      <c r="G15">
        <v>96</v>
      </c>
      <c r="I15">
        <f t="shared" ref="I15:M16" si="5">(C15+C$20)*C$3</f>
        <v>19.8</v>
      </c>
      <c r="J15">
        <f t="shared" si="5"/>
        <v>20.400000000000002</v>
      </c>
      <c r="K15">
        <f t="shared" si="5"/>
        <v>19.8</v>
      </c>
      <c r="L15">
        <f>(F15+F$20+$F$21)*F$3</f>
        <v>21.400000000000002</v>
      </c>
      <c r="M15">
        <f>(G15+G$20)*G$3</f>
        <v>19.200000000000003</v>
      </c>
      <c r="N15" s="3">
        <f>SUM(I15:M15)</f>
        <v>100.60000000000001</v>
      </c>
      <c r="O15" s="2">
        <f t="shared" ref="O15:O16" si="6">N15/100</f>
        <v>1.006</v>
      </c>
      <c r="P15" t="s">
        <v>29</v>
      </c>
    </row>
    <row r="16" spans="2:16" x14ac:dyDescent="0.2">
      <c r="B16" t="s">
        <v>7</v>
      </c>
      <c r="C16">
        <v>83</v>
      </c>
      <c r="D16">
        <v>79</v>
      </c>
      <c r="E16">
        <v>85</v>
      </c>
      <c r="F16">
        <v>78</v>
      </c>
      <c r="G16">
        <v>96</v>
      </c>
      <c r="I16">
        <f t="shared" si="5"/>
        <v>17</v>
      </c>
      <c r="J16">
        <f t="shared" si="5"/>
        <v>16.8</v>
      </c>
      <c r="K16">
        <f t="shared" si="5"/>
        <v>18</v>
      </c>
      <c r="L16">
        <f>(F16+F$20+$F$21)*F$3</f>
        <v>18</v>
      </c>
      <c r="M16">
        <f t="shared" si="5"/>
        <v>19.200000000000003</v>
      </c>
      <c r="N16" s="3">
        <f t="shared" si="2"/>
        <v>89</v>
      </c>
      <c r="O16" s="2">
        <f t="shared" si="6"/>
        <v>0.89</v>
      </c>
      <c r="P16" t="s">
        <v>34</v>
      </c>
    </row>
    <row r="18" spans="2:15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>
        <f>AVERAGE(E6:E16)</f>
        <v>86.666666666666671</v>
      </c>
      <c r="F18" s="1">
        <f>AVERAGE(F6:F16)</f>
        <v>83</v>
      </c>
      <c r="G18" s="1">
        <f>AVERAGE(G6:G16)</f>
        <v>96.222222222222229</v>
      </c>
      <c r="N18" t="s">
        <v>24</v>
      </c>
      <c r="O18" s="2">
        <f>AVERAGE(O6:O16)</f>
        <v>0.93000000000000016</v>
      </c>
    </row>
    <row r="19" spans="2:15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>
        <f>STDEV(E6:E16)</f>
        <v>5.8094750193111251</v>
      </c>
      <c r="F19" s="1">
        <f>STDEV(F6:F16)</f>
        <v>8.7607077339676156</v>
      </c>
      <c r="G19" s="1">
        <f>STDEV(G6:G16)</f>
        <v>1.922093765778466</v>
      </c>
      <c r="N19" t="s">
        <v>25</v>
      </c>
      <c r="O19" s="2">
        <f>STDEV(O6:O16)</f>
        <v>6.3568860301251265E-2</v>
      </c>
    </row>
    <row r="20" spans="2:15" x14ac:dyDescent="0.2">
      <c r="B20" t="s">
        <v>16</v>
      </c>
      <c r="C20">
        <v>2</v>
      </c>
      <c r="D20">
        <v>5</v>
      </c>
      <c r="E20">
        <v>5</v>
      </c>
      <c r="F20">
        <v>7</v>
      </c>
    </row>
    <row r="21" spans="2:15" x14ac:dyDescent="0.2">
      <c r="B21" t="s">
        <v>27</v>
      </c>
      <c r="F21">
        <v>5</v>
      </c>
    </row>
    <row r="22" spans="2:15" x14ac:dyDescent="0.2">
      <c r="B22" t="s">
        <v>17</v>
      </c>
      <c r="C22" s="1">
        <f>C18+C20</f>
        <v>90.555555555555557</v>
      </c>
      <c r="D22" s="1">
        <f>D18+D20</f>
        <v>91.555555555555557</v>
      </c>
      <c r="E22" s="1">
        <f>E18+E20</f>
        <v>91.666666666666671</v>
      </c>
      <c r="F22" s="1">
        <f>F18+F20+F21</f>
        <v>95</v>
      </c>
      <c r="G22" s="1">
        <f>G18+G20</f>
        <v>96.222222222222229</v>
      </c>
    </row>
    <row r="26" spans="2:15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5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5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5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5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5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5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7">SUM(D27:D36)</f>
        <v>95</v>
      </c>
      <c r="E37">
        <f t="shared" si="7"/>
        <v>94</v>
      </c>
      <c r="F37">
        <f t="shared" si="7"/>
        <v>89</v>
      </c>
      <c r="G37">
        <f t="shared" si="7"/>
        <v>84</v>
      </c>
      <c r="H37">
        <f t="shared" si="7"/>
        <v>74</v>
      </c>
      <c r="I37">
        <f t="shared" si="7"/>
        <v>90</v>
      </c>
      <c r="J37">
        <f t="shared" si="7"/>
        <v>91</v>
      </c>
      <c r="K37">
        <f t="shared" si="7"/>
        <v>97</v>
      </c>
      <c r="L37">
        <f t="shared" si="7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8">SUM(D40:D49)</f>
        <v>93</v>
      </c>
      <c r="E50">
        <f t="shared" si="8"/>
        <v>91</v>
      </c>
      <c r="F50">
        <f t="shared" si="8"/>
        <v>93</v>
      </c>
      <c r="G50">
        <f t="shared" si="8"/>
        <v>68</v>
      </c>
      <c r="H50">
        <f t="shared" si="8"/>
        <v>73</v>
      </c>
      <c r="I50">
        <f t="shared" si="8"/>
        <v>88</v>
      </c>
      <c r="J50">
        <f t="shared" si="8"/>
        <v>97</v>
      </c>
      <c r="K50">
        <f t="shared" si="8"/>
        <v>97</v>
      </c>
      <c r="L50">
        <f t="shared" si="8"/>
        <v>79</v>
      </c>
    </row>
    <row r="52" spans="2:12" x14ac:dyDescent="0.2">
      <c r="B52" t="s">
        <v>12</v>
      </c>
      <c r="C52" t="s">
        <v>18</v>
      </c>
      <c r="D52" t="s">
        <v>1</v>
      </c>
      <c r="E52" t="s">
        <v>2</v>
      </c>
      <c r="F52" t="s">
        <v>20</v>
      </c>
      <c r="G52" t="s">
        <v>5</v>
      </c>
      <c r="H52" t="s">
        <v>6</v>
      </c>
      <c r="I52" t="s">
        <v>8</v>
      </c>
      <c r="J52" t="s">
        <v>9</v>
      </c>
      <c r="K52" t="s">
        <v>4</v>
      </c>
      <c r="L52" t="s">
        <v>7</v>
      </c>
    </row>
    <row r="53" spans="2:12" x14ac:dyDescent="0.2">
      <c r="B53">
        <v>1</v>
      </c>
      <c r="C53">
        <v>6</v>
      </c>
      <c r="D53">
        <v>6</v>
      </c>
      <c r="E53">
        <v>6</v>
      </c>
      <c r="F53">
        <v>6</v>
      </c>
      <c r="G53">
        <v>6</v>
      </c>
      <c r="H53">
        <v>6</v>
      </c>
      <c r="I53">
        <v>6</v>
      </c>
      <c r="J53">
        <v>6</v>
      </c>
      <c r="K53">
        <v>6</v>
      </c>
      <c r="L53">
        <v>6</v>
      </c>
    </row>
    <row r="54" spans="2:12" x14ac:dyDescent="0.2">
      <c r="B54">
        <v>2</v>
      </c>
      <c r="C54">
        <v>6</v>
      </c>
      <c r="D54">
        <v>6</v>
      </c>
      <c r="E54">
        <v>6</v>
      </c>
      <c r="F54">
        <v>6</v>
      </c>
      <c r="G54">
        <v>2</v>
      </c>
      <c r="H54">
        <v>2</v>
      </c>
      <c r="I54">
        <v>6</v>
      </c>
      <c r="J54">
        <v>4</v>
      </c>
      <c r="K54">
        <v>6</v>
      </c>
      <c r="L54">
        <v>4</v>
      </c>
    </row>
    <row r="55" spans="2:12" x14ac:dyDescent="0.2">
      <c r="B55">
        <v>3</v>
      </c>
      <c r="C55">
        <v>6</v>
      </c>
      <c r="D55">
        <v>4</v>
      </c>
      <c r="E55">
        <v>4</v>
      </c>
      <c r="F55">
        <v>3</v>
      </c>
      <c r="G55">
        <v>2</v>
      </c>
      <c r="H55">
        <v>2</v>
      </c>
      <c r="I55">
        <v>6</v>
      </c>
      <c r="J55">
        <v>4</v>
      </c>
      <c r="K55">
        <v>6</v>
      </c>
      <c r="L55">
        <v>6</v>
      </c>
    </row>
    <row r="56" spans="2:12" x14ac:dyDescent="0.2">
      <c r="B56">
        <v>4</v>
      </c>
      <c r="C56">
        <v>6</v>
      </c>
      <c r="D56">
        <v>6</v>
      </c>
      <c r="E56">
        <v>6</v>
      </c>
      <c r="F56">
        <v>5</v>
      </c>
      <c r="G56">
        <v>6</v>
      </c>
      <c r="H56">
        <v>5</v>
      </c>
      <c r="I56">
        <v>6</v>
      </c>
      <c r="J56">
        <v>5</v>
      </c>
      <c r="K56">
        <v>6</v>
      </c>
      <c r="L56">
        <v>5</v>
      </c>
    </row>
    <row r="57" spans="2:12" x14ac:dyDescent="0.2">
      <c r="B57">
        <v>5</v>
      </c>
      <c r="C57">
        <v>16</v>
      </c>
      <c r="D57">
        <v>15</v>
      </c>
      <c r="E57">
        <v>10</v>
      </c>
      <c r="F57">
        <v>13</v>
      </c>
      <c r="G57">
        <v>11</v>
      </c>
      <c r="H57">
        <v>13</v>
      </c>
      <c r="I57">
        <v>11</v>
      </c>
      <c r="J57">
        <v>16</v>
      </c>
      <c r="K57">
        <v>14</v>
      </c>
      <c r="L57">
        <v>11</v>
      </c>
    </row>
    <row r="58" spans="2:12" x14ac:dyDescent="0.2">
      <c r="B58">
        <v>6</v>
      </c>
      <c r="C58">
        <v>6</v>
      </c>
      <c r="D58">
        <v>6</v>
      </c>
      <c r="E58">
        <v>6</v>
      </c>
      <c r="F58">
        <v>6</v>
      </c>
      <c r="G58">
        <v>6</v>
      </c>
      <c r="H58">
        <v>6</v>
      </c>
      <c r="I58">
        <v>6</v>
      </c>
      <c r="J58">
        <v>6</v>
      </c>
      <c r="K58">
        <v>6</v>
      </c>
      <c r="L58">
        <v>6</v>
      </c>
    </row>
    <row r="59" spans="2:12" x14ac:dyDescent="0.2">
      <c r="B59">
        <v>7</v>
      </c>
      <c r="C59">
        <v>12</v>
      </c>
      <c r="D59">
        <v>12</v>
      </c>
      <c r="E59">
        <v>10</v>
      </c>
      <c r="F59">
        <v>12</v>
      </c>
      <c r="G59">
        <v>12</v>
      </c>
      <c r="H59">
        <v>6</v>
      </c>
      <c r="I59">
        <v>8</v>
      </c>
      <c r="J59">
        <v>10</v>
      </c>
      <c r="K59">
        <v>10</v>
      </c>
      <c r="L59">
        <v>9</v>
      </c>
    </row>
    <row r="60" spans="2:12" x14ac:dyDescent="0.2">
      <c r="B60">
        <v>8</v>
      </c>
      <c r="C60">
        <v>8</v>
      </c>
      <c r="D60">
        <v>8</v>
      </c>
      <c r="E60">
        <v>8</v>
      </c>
      <c r="F60">
        <v>8</v>
      </c>
      <c r="G60">
        <v>8</v>
      </c>
      <c r="H60">
        <v>7</v>
      </c>
      <c r="I60">
        <v>8</v>
      </c>
      <c r="J60">
        <v>6</v>
      </c>
      <c r="K60">
        <v>8</v>
      </c>
      <c r="L60">
        <v>8</v>
      </c>
    </row>
    <row r="61" spans="2:12" x14ac:dyDescent="0.2">
      <c r="B61">
        <v>9</v>
      </c>
      <c r="C61">
        <v>10</v>
      </c>
      <c r="D61">
        <v>10</v>
      </c>
      <c r="E61">
        <v>10</v>
      </c>
      <c r="F61">
        <v>10</v>
      </c>
      <c r="G61">
        <v>10</v>
      </c>
      <c r="H61">
        <v>10</v>
      </c>
      <c r="I61">
        <v>5</v>
      </c>
      <c r="J61">
        <v>5</v>
      </c>
      <c r="K61">
        <v>10</v>
      </c>
      <c r="L61">
        <v>10</v>
      </c>
    </row>
    <row r="62" spans="2:12" x14ac:dyDescent="0.2">
      <c r="B62">
        <v>10</v>
      </c>
      <c r="C62">
        <v>10</v>
      </c>
      <c r="D62">
        <v>10</v>
      </c>
      <c r="E62">
        <v>10</v>
      </c>
      <c r="F62">
        <v>10</v>
      </c>
      <c r="G62">
        <v>10</v>
      </c>
      <c r="H62">
        <v>10</v>
      </c>
      <c r="I62">
        <v>10</v>
      </c>
      <c r="J62">
        <v>10</v>
      </c>
      <c r="K62">
        <v>10</v>
      </c>
      <c r="L62">
        <v>10</v>
      </c>
    </row>
    <row r="63" spans="2:12" x14ac:dyDescent="0.2">
      <c r="B63">
        <v>11</v>
      </c>
      <c r="C63">
        <v>6</v>
      </c>
      <c r="D63">
        <v>6</v>
      </c>
      <c r="E63">
        <v>6</v>
      </c>
      <c r="F63">
        <v>4</v>
      </c>
      <c r="G63">
        <v>4</v>
      </c>
      <c r="H63">
        <v>5</v>
      </c>
      <c r="I63">
        <v>6</v>
      </c>
      <c r="J63">
        <v>5</v>
      </c>
      <c r="K63">
        <v>4</v>
      </c>
      <c r="L63">
        <v>4</v>
      </c>
    </row>
    <row r="64" spans="2:12" x14ac:dyDescent="0.2">
      <c r="B64">
        <v>12</v>
      </c>
      <c r="C64">
        <v>8</v>
      </c>
      <c r="D64">
        <v>6</v>
      </c>
      <c r="E64">
        <v>7</v>
      </c>
      <c r="F64">
        <v>7</v>
      </c>
      <c r="G64">
        <v>6</v>
      </c>
      <c r="H64">
        <v>5</v>
      </c>
      <c r="I64">
        <v>5</v>
      </c>
      <c r="J64">
        <v>7</v>
      </c>
      <c r="K64">
        <v>8</v>
      </c>
      <c r="L64">
        <v>6</v>
      </c>
    </row>
    <row r="65" spans="2:12" x14ac:dyDescent="0.2">
      <c r="B65" t="s">
        <v>21</v>
      </c>
      <c r="C65">
        <f>SUM(C53:C64)</f>
        <v>100</v>
      </c>
      <c r="D65">
        <f t="shared" ref="D65:L65" si="9">SUM(D53:D64)</f>
        <v>95</v>
      </c>
      <c r="E65">
        <f t="shared" si="9"/>
        <v>89</v>
      </c>
      <c r="F65">
        <f t="shared" si="9"/>
        <v>90</v>
      </c>
      <c r="G65">
        <f t="shared" si="9"/>
        <v>83</v>
      </c>
      <c r="H65">
        <f t="shared" si="9"/>
        <v>77</v>
      </c>
      <c r="I65">
        <f t="shared" si="9"/>
        <v>83</v>
      </c>
      <c r="J65">
        <f t="shared" si="9"/>
        <v>84</v>
      </c>
      <c r="K65">
        <f t="shared" si="9"/>
        <v>94</v>
      </c>
      <c r="L65">
        <f t="shared" si="9"/>
        <v>85</v>
      </c>
    </row>
    <row r="67" spans="2:12" x14ac:dyDescent="0.2">
      <c r="B67" t="s">
        <v>13</v>
      </c>
      <c r="C67" t="s">
        <v>18</v>
      </c>
      <c r="D67" t="s">
        <v>1</v>
      </c>
      <c r="E67" t="s">
        <v>2</v>
      </c>
      <c r="F67" t="s">
        <v>20</v>
      </c>
      <c r="G67" t="s">
        <v>5</v>
      </c>
      <c r="H67" t="s">
        <v>6</v>
      </c>
      <c r="I67" t="s">
        <v>8</v>
      </c>
      <c r="J67" t="s">
        <v>9</v>
      </c>
      <c r="K67" t="s">
        <v>4</v>
      </c>
      <c r="L67" t="s">
        <v>7</v>
      </c>
    </row>
    <row r="68" spans="2:12" x14ac:dyDescent="0.2">
      <c r="B68">
        <v>1</v>
      </c>
      <c r="C68">
        <v>10</v>
      </c>
      <c r="D68">
        <v>10</v>
      </c>
      <c r="E68">
        <v>9</v>
      </c>
      <c r="F68">
        <v>10</v>
      </c>
      <c r="G68">
        <v>9</v>
      </c>
      <c r="H68">
        <v>6</v>
      </c>
      <c r="I68">
        <v>9</v>
      </c>
      <c r="J68">
        <v>10</v>
      </c>
      <c r="K68">
        <v>10</v>
      </c>
      <c r="L68">
        <v>9</v>
      </c>
    </row>
    <row r="69" spans="2:12" x14ac:dyDescent="0.2">
      <c r="B69">
        <v>2</v>
      </c>
      <c r="C69">
        <v>10</v>
      </c>
      <c r="D69">
        <v>7</v>
      </c>
      <c r="E69">
        <v>7</v>
      </c>
      <c r="F69">
        <v>7</v>
      </c>
      <c r="G69">
        <v>7</v>
      </c>
      <c r="H69">
        <v>10</v>
      </c>
      <c r="I69">
        <v>10</v>
      </c>
      <c r="J69">
        <v>10</v>
      </c>
      <c r="K69">
        <v>10</v>
      </c>
      <c r="L69">
        <v>7</v>
      </c>
    </row>
    <row r="70" spans="2:12" x14ac:dyDescent="0.2">
      <c r="B70">
        <v>3</v>
      </c>
      <c r="C70">
        <v>10</v>
      </c>
      <c r="D70">
        <v>8</v>
      </c>
      <c r="E70">
        <v>9</v>
      </c>
      <c r="F70">
        <v>10</v>
      </c>
      <c r="G70">
        <v>5</v>
      </c>
      <c r="H70">
        <v>7</v>
      </c>
      <c r="I70">
        <v>7</v>
      </c>
      <c r="J70">
        <v>9</v>
      </c>
      <c r="K70">
        <v>9</v>
      </c>
      <c r="L70">
        <v>7</v>
      </c>
    </row>
    <row r="71" spans="2:12" x14ac:dyDescent="0.2">
      <c r="B71">
        <v>4</v>
      </c>
      <c r="C71">
        <v>8</v>
      </c>
      <c r="D71">
        <v>8</v>
      </c>
      <c r="E71">
        <v>8</v>
      </c>
      <c r="F71">
        <v>6</v>
      </c>
      <c r="G71">
        <v>8</v>
      </c>
      <c r="H71">
        <v>6</v>
      </c>
      <c r="I71">
        <v>7</v>
      </c>
      <c r="J71">
        <v>7</v>
      </c>
      <c r="K71">
        <v>8</v>
      </c>
      <c r="L71">
        <v>7</v>
      </c>
    </row>
    <row r="72" spans="2:12" x14ac:dyDescent="0.2">
      <c r="B72">
        <v>5</v>
      </c>
      <c r="C72">
        <v>6</v>
      </c>
      <c r="D72">
        <v>6</v>
      </c>
      <c r="E72">
        <v>5</v>
      </c>
      <c r="F72">
        <v>4</v>
      </c>
      <c r="G72">
        <v>6</v>
      </c>
      <c r="H72">
        <v>6</v>
      </c>
      <c r="I72">
        <v>6</v>
      </c>
      <c r="J72">
        <v>4</v>
      </c>
      <c r="K72">
        <v>4</v>
      </c>
      <c r="L72">
        <v>6</v>
      </c>
    </row>
    <row r="73" spans="2:12" x14ac:dyDescent="0.2">
      <c r="B73">
        <v>6</v>
      </c>
      <c r="C73">
        <v>8</v>
      </c>
      <c r="D73">
        <v>8</v>
      </c>
      <c r="E73">
        <v>7</v>
      </c>
      <c r="F73">
        <v>7</v>
      </c>
      <c r="G73">
        <v>5</v>
      </c>
      <c r="H73">
        <v>6</v>
      </c>
      <c r="I73">
        <v>8</v>
      </c>
      <c r="J73">
        <v>8</v>
      </c>
      <c r="K73">
        <v>8</v>
      </c>
      <c r="L73">
        <v>7</v>
      </c>
    </row>
    <row r="74" spans="2:12" x14ac:dyDescent="0.2">
      <c r="B74">
        <v>7</v>
      </c>
      <c r="C74">
        <v>12</v>
      </c>
      <c r="D74">
        <v>12</v>
      </c>
      <c r="E74">
        <v>11</v>
      </c>
      <c r="F74">
        <v>11</v>
      </c>
      <c r="G74">
        <v>11</v>
      </c>
      <c r="H74">
        <v>8</v>
      </c>
      <c r="I74">
        <v>8</v>
      </c>
      <c r="J74">
        <v>11</v>
      </c>
      <c r="K74">
        <v>11</v>
      </c>
      <c r="L74">
        <v>10</v>
      </c>
    </row>
    <row r="75" spans="2:12" x14ac:dyDescent="0.2">
      <c r="B75">
        <v>8</v>
      </c>
      <c r="C75">
        <v>7</v>
      </c>
      <c r="D75">
        <v>4</v>
      </c>
      <c r="E75">
        <v>7</v>
      </c>
      <c r="F75">
        <v>5</v>
      </c>
      <c r="G75">
        <v>1</v>
      </c>
      <c r="H75">
        <v>4</v>
      </c>
      <c r="I75">
        <v>5</v>
      </c>
      <c r="J75">
        <v>6</v>
      </c>
      <c r="K75">
        <v>6</v>
      </c>
      <c r="L75">
        <v>4</v>
      </c>
    </row>
    <row r="76" spans="2:12" x14ac:dyDescent="0.2">
      <c r="B76">
        <v>9</v>
      </c>
      <c r="C76">
        <v>6</v>
      </c>
      <c r="D76">
        <v>6</v>
      </c>
      <c r="E76">
        <v>6</v>
      </c>
      <c r="F76">
        <v>3</v>
      </c>
      <c r="G76">
        <v>1</v>
      </c>
      <c r="H76">
        <v>3</v>
      </c>
      <c r="I76">
        <v>4</v>
      </c>
      <c r="J76">
        <v>5</v>
      </c>
      <c r="K76">
        <v>6</v>
      </c>
      <c r="L76">
        <v>6</v>
      </c>
    </row>
    <row r="77" spans="2:12" x14ac:dyDescent="0.2">
      <c r="B77">
        <v>10</v>
      </c>
      <c r="C77">
        <v>10</v>
      </c>
      <c r="D77">
        <v>10</v>
      </c>
      <c r="E77">
        <v>8</v>
      </c>
      <c r="F77">
        <v>8</v>
      </c>
      <c r="G77">
        <v>10</v>
      </c>
      <c r="H77">
        <v>4</v>
      </c>
      <c r="I77">
        <v>7</v>
      </c>
      <c r="J77">
        <v>4</v>
      </c>
      <c r="K77">
        <v>10</v>
      </c>
      <c r="L77">
        <v>3</v>
      </c>
    </row>
    <row r="78" spans="2:12" x14ac:dyDescent="0.2">
      <c r="B78">
        <v>11</v>
      </c>
      <c r="C78">
        <v>7</v>
      </c>
      <c r="D78">
        <v>7</v>
      </c>
      <c r="E78">
        <v>7</v>
      </c>
      <c r="F78">
        <v>7</v>
      </c>
      <c r="G78">
        <v>7</v>
      </c>
      <c r="H78">
        <v>4</v>
      </c>
      <c r="I78">
        <v>4</v>
      </c>
      <c r="J78">
        <v>7</v>
      </c>
      <c r="K78">
        <v>7</v>
      </c>
      <c r="L78">
        <v>6</v>
      </c>
    </row>
    <row r="79" spans="2:12" x14ac:dyDescent="0.2">
      <c r="B79">
        <v>12</v>
      </c>
      <c r="C79">
        <v>6</v>
      </c>
      <c r="D79">
        <v>6</v>
      </c>
      <c r="E79">
        <v>6</v>
      </c>
      <c r="F79">
        <v>6</v>
      </c>
      <c r="G79">
        <v>4</v>
      </c>
      <c r="H79">
        <v>4</v>
      </c>
      <c r="I79">
        <v>6</v>
      </c>
      <c r="J79">
        <v>4</v>
      </c>
      <c r="K79">
        <v>6</v>
      </c>
      <c r="L79">
        <v>6</v>
      </c>
    </row>
    <row r="80" spans="2:12" x14ac:dyDescent="0.2">
      <c r="B80" t="s">
        <v>26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</row>
    <row r="81" spans="2:12" x14ac:dyDescent="0.2">
      <c r="B81" t="s">
        <v>21</v>
      </c>
      <c r="C81">
        <f>SUM(C68:C79)</f>
        <v>100</v>
      </c>
      <c r="D81">
        <f t="shared" ref="D81:L83" si="10">SUM(D68:D79)</f>
        <v>92</v>
      </c>
      <c r="E81">
        <f t="shared" si="10"/>
        <v>90</v>
      </c>
      <c r="F81">
        <f t="shared" si="10"/>
        <v>84</v>
      </c>
      <c r="G81">
        <f t="shared" si="10"/>
        <v>74</v>
      </c>
      <c r="H81">
        <f t="shared" si="10"/>
        <v>68</v>
      </c>
      <c r="I81">
        <f t="shared" si="10"/>
        <v>81</v>
      </c>
      <c r="J81">
        <f t="shared" si="10"/>
        <v>85</v>
      </c>
      <c r="K81">
        <f t="shared" si="10"/>
        <v>95</v>
      </c>
      <c r="L81">
        <f t="shared" si="10"/>
        <v>78</v>
      </c>
    </row>
    <row r="83" spans="2:12" x14ac:dyDescent="0.2">
      <c r="D83">
        <v>92</v>
      </c>
      <c r="E83">
        <v>90</v>
      </c>
      <c r="F83">
        <v>84</v>
      </c>
      <c r="G83">
        <v>74</v>
      </c>
      <c r="H83">
        <v>68</v>
      </c>
      <c r="I83">
        <v>81</v>
      </c>
      <c r="J83">
        <v>85</v>
      </c>
      <c r="K83">
        <v>95</v>
      </c>
      <c r="L83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2025-08-19T19:34:47Z</dcterms:created>
  <dcterms:modified xsi:type="dcterms:W3CDTF">2025-12-08T18:52:34Z</dcterms:modified>
</cp:coreProperties>
</file>